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yCom\Desktop\"/>
    </mc:Choice>
  </mc:AlternateContent>
  <xr:revisionPtr revIDLastSave="0" documentId="13_ncr:1_{BF073F06-C8D1-460F-A527-03C364F9C89E}" xr6:coauthVersionLast="47" xr6:coauthVersionMax="47" xr10:uidLastSave="{00000000-0000-0000-0000-000000000000}"/>
  <bookViews>
    <workbookView xWindow="-120" yWindow="-120" windowWidth="20730" windowHeight="11040" firstSheet="4" activeTab="7" xr2:uid="{17F7DE0E-6C15-4FB2-9A70-1866D56F633A}"/>
  </bookViews>
  <sheets>
    <sheet name="ဆံရှည်" sheetId="2" r:id="rId1"/>
    <sheet name="အကြီးကောင်" sheetId="1" r:id="rId2"/>
    <sheet name="ဦးဘန်" sheetId="3" r:id="rId3"/>
    <sheet name="အောင်ကို" sheetId="4" r:id="rId4"/>
    <sheet name="ဇော်မင်းဦး" sheetId="5" r:id="rId5"/>
    <sheet name="မီးသွေး" sheetId="7" r:id="rId6"/>
    <sheet name="တင်ဖြိုးအောင်" sheetId="6" r:id="rId7"/>
    <sheet name="အဒယ်လယ်" sheetId="8" r:id="rId8"/>
    <sheet name="ဦးကျွဲ" sheetId="9" r:id="rId9"/>
    <sheet name="အောင်ထွန်းဝင်း" sheetId="10" r:id="rId10"/>
    <sheet name="ကျော်လင်းဦး" sheetId="11" r:id="rId11"/>
    <sheet name="Sheet12" sheetId="12" r:id="rId12"/>
    <sheet name="Sheet4" sheetId="26" r:id="rId13"/>
    <sheet name="Sheet5" sheetId="27" r:id="rId14"/>
    <sheet name="Sheet13" sheetId="13" r:id="rId15"/>
    <sheet name="Sheet14" sheetId="14" r:id="rId16"/>
    <sheet name="Sheet15" sheetId="15" r:id="rId17"/>
    <sheet name="Sheet16" sheetId="16" r:id="rId18"/>
    <sheet name="Sheet17" sheetId="17" r:id="rId19"/>
    <sheet name="Sheet18" sheetId="18" r:id="rId20"/>
    <sheet name="Sheet19" sheetId="19" r:id="rId21"/>
    <sheet name="Sheet22" sheetId="22" r:id="rId22"/>
    <sheet name="Sheet20" sheetId="20" r:id="rId23"/>
    <sheet name="Sheet21" sheetId="21" r:id="rId24"/>
    <sheet name="Sheet1" sheetId="23" r:id="rId25"/>
    <sheet name="Sheet2" sheetId="24" r:id="rId26"/>
    <sheet name="Sheet3" sheetId="25" r:id="rId2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2" i="8" l="1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4" i="8"/>
  <c r="AQ45" i="11"/>
  <c r="AQ38" i="11"/>
  <c r="AQ26" i="11"/>
  <c r="AQ21" i="11"/>
  <c r="AQ19" i="11"/>
  <c r="AQ20" i="11"/>
  <c r="AQ17" i="11"/>
  <c r="AK4" i="8"/>
  <c r="AD11" i="8"/>
  <c r="AD10" i="8"/>
  <c r="AD8" i="8"/>
  <c r="AQ14" i="11"/>
  <c r="AQ7" i="11"/>
  <c r="AQ6" i="11"/>
  <c r="AI4" i="11"/>
  <c r="AC4" i="11"/>
  <c r="AC4" i="10"/>
  <c r="AA4" i="11"/>
  <c r="Y4" i="11"/>
  <c r="X5" i="11"/>
  <c r="X6" i="11" s="1"/>
  <c r="W5" i="11"/>
  <c r="W6" i="11" s="1"/>
  <c r="W7" i="11" s="1"/>
  <c r="W8" i="11" s="1"/>
  <c r="W9" i="11" s="1"/>
  <c r="W10" i="11" s="1"/>
  <c r="W11" i="11" s="1"/>
  <c r="W12" i="11" s="1"/>
  <c r="W13" i="11" s="1"/>
  <c r="AE5" i="11"/>
  <c r="AF5" i="11"/>
  <c r="AG5" i="11" s="1"/>
  <c r="AQ67" i="11"/>
  <c r="AQ66" i="11"/>
  <c r="AQ65" i="11"/>
  <c r="AQ64" i="11"/>
  <c r="AQ63" i="11"/>
  <c r="AQ62" i="11"/>
  <c r="AQ61" i="11"/>
  <c r="AQ60" i="11"/>
  <c r="AQ59" i="11"/>
  <c r="AQ58" i="11"/>
  <c r="AQ57" i="11"/>
  <c r="AQ56" i="11"/>
  <c r="AQ55" i="11"/>
  <c r="AQ54" i="11"/>
  <c r="AQ53" i="11"/>
  <c r="AQ52" i="11"/>
  <c r="AQ51" i="11"/>
  <c r="AQ50" i="11"/>
  <c r="AQ49" i="11"/>
  <c r="AQ48" i="11"/>
  <c r="AQ47" i="11"/>
  <c r="AQ44" i="11"/>
  <c r="AQ43" i="11"/>
  <c r="AQ42" i="11"/>
  <c r="AQ41" i="11"/>
  <c r="AQ40" i="11"/>
  <c r="AQ39" i="11"/>
  <c r="AQ37" i="11"/>
  <c r="AQ36" i="11"/>
  <c r="AQ35" i="11"/>
  <c r="AQ34" i="11"/>
  <c r="AQ33" i="11"/>
  <c r="AQ32" i="11"/>
  <c r="AQ31" i="11"/>
  <c r="AQ30" i="11"/>
  <c r="AQ29" i="11"/>
  <c r="AQ28" i="11"/>
  <c r="AQ27" i="11"/>
  <c r="AQ25" i="11"/>
  <c r="AQ24" i="11"/>
  <c r="AQ23" i="11"/>
  <c r="AQ22" i="11"/>
  <c r="AQ15" i="11"/>
  <c r="AQ18" i="11"/>
  <c r="AQ16" i="11"/>
  <c r="AQ13" i="11"/>
  <c r="AQ10" i="11"/>
  <c r="AQ11" i="11"/>
  <c r="AQ12" i="11"/>
  <c r="AQ9" i="11"/>
  <c r="AQ8" i="11"/>
  <c r="AQ5" i="11"/>
  <c r="AD5" i="11"/>
  <c r="L5" i="11"/>
  <c r="L6" i="11" s="1"/>
  <c r="L7" i="11" s="1"/>
  <c r="L8" i="11" s="1"/>
  <c r="L9" i="11" s="1"/>
  <c r="L10" i="11" s="1"/>
  <c r="L11" i="11" s="1"/>
  <c r="L12" i="11" s="1"/>
  <c r="L13" i="11" s="1"/>
  <c r="L14" i="11" s="1"/>
  <c r="L15" i="11" s="1"/>
  <c r="L16" i="11" s="1"/>
  <c r="L17" i="11" s="1"/>
  <c r="L18" i="11" s="1"/>
  <c r="L19" i="11" s="1"/>
  <c r="L20" i="11" s="1"/>
  <c r="L21" i="11" s="1"/>
  <c r="L22" i="11" s="1"/>
  <c r="L23" i="11" s="1"/>
  <c r="L24" i="11" s="1"/>
  <c r="L25" i="11" s="1"/>
  <c r="L26" i="11" s="1"/>
  <c r="L27" i="11" s="1"/>
  <c r="L28" i="11" s="1"/>
  <c r="L29" i="11" s="1"/>
  <c r="L30" i="11" s="1"/>
  <c r="L31" i="11" s="1"/>
  <c r="L32" i="11" s="1"/>
  <c r="L33" i="11" s="1"/>
  <c r="E5" i="11"/>
  <c r="E6" i="11" s="1"/>
  <c r="AQ4" i="11"/>
  <c r="AJ4" i="11"/>
  <c r="I4" i="11"/>
  <c r="B24" i="27"/>
  <c r="W36" i="27"/>
  <c r="V36" i="27"/>
  <c r="T6" i="27"/>
  <c r="S6" i="27"/>
  <c r="Q24" i="27"/>
  <c r="P24" i="27"/>
  <c r="N21" i="27"/>
  <c r="M21" i="27"/>
  <c r="K23" i="27"/>
  <c r="J23" i="27"/>
  <c r="H21" i="27"/>
  <c r="D24" i="27" s="1"/>
  <c r="G21" i="27"/>
  <c r="E17" i="27"/>
  <c r="D17" i="27"/>
  <c r="B22" i="27"/>
  <c r="A22" i="27"/>
  <c r="AQ67" i="10"/>
  <c r="AQ52" i="10"/>
  <c r="AQ53" i="10"/>
  <c r="AQ54" i="10"/>
  <c r="AQ55" i="10"/>
  <c r="AQ56" i="10"/>
  <c r="AQ57" i="10"/>
  <c r="AQ49" i="10"/>
  <c r="AQ50" i="10"/>
  <c r="AQ44" i="10"/>
  <c r="AQ43" i="10"/>
  <c r="AQ36" i="10"/>
  <c r="AQ37" i="10"/>
  <c r="AQ40" i="10"/>
  <c r="AQ39" i="10"/>
  <c r="AQ30" i="10"/>
  <c r="AQ31" i="10"/>
  <c r="AQ29" i="10"/>
  <c r="AQ16" i="10"/>
  <c r="AI4" i="10"/>
  <c r="AQ66" i="10"/>
  <c r="AQ65" i="10"/>
  <c r="AQ62" i="10"/>
  <c r="AQ61" i="10"/>
  <c r="AQ60" i="10"/>
  <c r="AQ59" i="10"/>
  <c r="AQ58" i="10"/>
  <c r="AQ48" i="10"/>
  <c r="AQ47" i="10"/>
  <c r="AQ46" i="10"/>
  <c r="AQ45" i="10"/>
  <c r="AQ64" i="10"/>
  <c r="AQ63" i="10"/>
  <c r="AQ51" i="10"/>
  <c r="AQ42" i="10"/>
  <c r="AQ41" i="10"/>
  <c r="AQ38" i="10"/>
  <c r="AQ33" i="10"/>
  <c r="AQ32" i="10"/>
  <c r="AQ35" i="10"/>
  <c r="AQ34" i="10"/>
  <c r="AQ28" i="10"/>
  <c r="AQ27" i="10"/>
  <c r="AQ26" i="10"/>
  <c r="AQ25" i="10"/>
  <c r="AQ24" i="10"/>
  <c r="AQ23" i="10"/>
  <c r="AQ22" i="10"/>
  <c r="AQ21" i="10"/>
  <c r="AQ20" i="10"/>
  <c r="AQ19" i="10"/>
  <c r="AQ18" i="10"/>
  <c r="AQ17" i="10"/>
  <c r="AQ15" i="10"/>
  <c r="AQ14" i="10"/>
  <c r="AQ13" i="10"/>
  <c r="AQ12" i="10"/>
  <c r="AQ11" i="10"/>
  <c r="AQ10" i="10"/>
  <c r="AQ9" i="10"/>
  <c r="AQ8" i="10"/>
  <c r="AQ7" i="10"/>
  <c r="AQ6" i="10"/>
  <c r="AQ5" i="10"/>
  <c r="AF5" i="10"/>
  <c r="AE5" i="10"/>
  <c r="AD5" i="10"/>
  <c r="X5" i="10"/>
  <c r="W5" i="10"/>
  <c r="W6" i="10" s="1"/>
  <c r="L5" i="10"/>
  <c r="L6" i="10" s="1"/>
  <c r="L7" i="10" s="1"/>
  <c r="L8" i="10" s="1"/>
  <c r="L9" i="10" s="1"/>
  <c r="L10" i="10" s="1"/>
  <c r="L11" i="10" s="1"/>
  <c r="L12" i="10" s="1"/>
  <c r="L13" i="10" s="1"/>
  <c r="L14" i="10" s="1"/>
  <c r="L15" i="10" s="1"/>
  <c r="L16" i="10" s="1"/>
  <c r="L17" i="10" s="1"/>
  <c r="L18" i="10" s="1"/>
  <c r="L19" i="10" s="1"/>
  <c r="L20" i="10" s="1"/>
  <c r="L21" i="10" s="1"/>
  <c r="L22" i="10" s="1"/>
  <c r="L23" i="10" s="1"/>
  <c r="L24" i="10" s="1"/>
  <c r="L25" i="10" s="1"/>
  <c r="L26" i="10" s="1"/>
  <c r="L27" i="10" s="1"/>
  <c r="L28" i="10" s="1"/>
  <c r="L29" i="10" s="1"/>
  <c r="L30" i="10" s="1"/>
  <c r="L31" i="10" s="1"/>
  <c r="L32" i="10" s="1"/>
  <c r="L33" i="10" s="1"/>
  <c r="L34" i="10" s="1"/>
  <c r="L35" i="10" s="1"/>
  <c r="L36" i="10" s="1"/>
  <c r="L37" i="10" s="1"/>
  <c r="L38" i="10" s="1"/>
  <c r="L39" i="10" s="1"/>
  <c r="L40" i="10" s="1"/>
  <c r="L41" i="10" s="1"/>
  <c r="L42" i="10" s="1"/>
  <c r="L43" i="10" s="1"/>
  <c r="L44" i="10" s="1"/>
  <c r="L45" i="10" s="1"/>
  <c r="L46" i="10" s="1"/>
  <c r="L47" i="10" s="1"/>
  <c r="L48" i="10" s="1"/>
  <c r="L49" i="10" s="1"/>
  <c r="L50" i="10" s="1"/>
  <c r="L51" i="10" s="1"/>
  <c r="L52" i="10" s="1"/>
  <c r="L53" i="10" s="1"/>
  <c r="AQ4" i="10"/>
  <c r="AJ4" i="10"/>
  <c r="AA4" i="10"/>
  <c r="Y4" i="10"/>
  <c r="I4" i="10"/>
  <c r="AR43" i="9"/>
  <c r="AR44" i="9"/>
  <c r="AR45" i="9"/>
  <c r="AR46" i="9"/>
  <c r="AR47" i="9"/>
  <c r="AR48" i="9"/>
  <c r="AR49" i="9"/>
  <c r="Z5" i="9"/>
  <c r="Z6" i="9"/>
  <c r="Z7" i="9"/>
  <c r="Z4" i="9"/>
  <c r="Z5" i="8"/>
  <c r="Z6" i="8"/>
  <c r="Z7" i="8"/>
  <c r="Z8" i="8"/>
  <c r="Z4" i="8"/>
  <c r="L5" i="9"/>
  <c r="AR42" i="9"/>
  <c r="AR37" i="9"/>
  <c r="AR36" i="9"/>
  <c r="AR41" i="9"/>
  <c r="AR40" i="9"/>
  <c r="AR33" i="9"/>
  <c r="AR32" i="9"/>
  <c r="AR39" i="9"/>
  <c r="AR30" i="9"/>
  <c r="AR29" i="9"/>
  <c r="AR38" i="9"/>
  <c r="Q32" i="9"/>
  <c r="AR27" i="9"/>
  <c r="AR26" i="9"/>
  <c r="AR35" i="9"/>
  <c r="AR34" i="9"/>
  <c r="AR28" i="9"/>
  <c r="AR31" i="9"/>
  <c r="AR25" i="9"/>
  <c r="AR24" i="9"/>
  <c r="AR23" i="9"/>
  <c r="AR22" i="9"/>
  <c r="AR21" i="9"/>
  <c r="AR20" i="9"/>
  <c r="AR19" i="9"/>
  <c r="AR18" i="9"/>
  <c r="AR17" i="9"/>
  <c r="AR16" i="9"/>
  <c r="AR15" i="9"/>
  <c r="AR14" i="9"/>
  <c r="AR13" i="9"/>
  <c r="AR12" i="9"/>
  <c r="AR11" i="9"/>
  <c r="AR10" i="9"/>
  <c r="AR9" i="9"/>
  <c r="AR8" i="9"/>
  <c r="AR7" i="9"/>
  <c r="AR6" i="9"/>
  <c r="AR5" i="9"/>
  <c r="AG5" i="9"/>
  <c r="AF5" i="9"/>
  <c r="AE5" i="9"/>
  <c r="Y5" i="9"/>
  <c r="Y6" i="9" s="1"/>
  <c r="Y7" i="9" s="1"/>
  <c r="Y8" i="9" s="1"/>
  <c r="X5" i="9"/>
  <c r="X6" i="9" s="1"/>
  <c r="X7" i="9" s="1"/>
  <c r="X8" i="9" s="1"/>
  <c r="L6" i="9"/>
  <c r="L7" i="9" s="1"/>
  <c r="L8" i="9" s="1"/>
  <c r="L9" i="9" s="1"/>
  <c r="L10" i="9" s="1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L22" i="9" s="1"/>
  <c r="L23" i="9" s="1"/>
  <c r="L24" i="9" s="1"/>
  <c r="L25" i="9" s="1"/>
  <c r="L26" i="9" s="1"/>
  <c r="L27" i="9" s="1"/>
  <c r="L28" i="9" s="1"/>
  <c r="L29" i="9" s="1"/>
  <c r="L30" i="9" s="1"/>
  <c r="L31" i="9" s="1"/>
  <c r="L32" i="9" s="1"/>
  <c r="L33" i="9" s="1"/>
  <c r="L34" i="9" s="1"/>
  <c r="L35" i="9" s="1"/>
  <c r="L36" i="9" s="1"/>
  <c r="L37" i="9" s="1"/>
  <c r="L38" i="9" s="1"/>
  <c r="L39" i="9" s="1"/>
  <c r="L40" i="9" s="1"/>
  <c r="L41" i="9" s="1"/>
  <c r="L42" i="9" s="1"/>
  <c r="L43" i="9" s="1"/>
  <c r="L44" i="9" s="1"/>
  <c r="L45" i="9" s="1"/>
  <c r="L46" i="9" s="1"/>
  <c r="L47" i="9" s="1"/>
  <c r="L48" i="9" s="1"/>
  <c r="L49" i="9" s="1"/>
  <c r="L50" i="9" s="1"/>
  <c r="L51" i="9" s="1"/>
  <c r="L52" i="9" s="1"/>
  <c r="L53" i="9" s="1"/>
  <c r="E5" i="9"/>
  <c r="E6" i="9" s="1"/>
  <c r="AR4" i="9"/>
  <c r="AK4" i="9"/>
  <c r="AD4" i="9"/>
  <c r="AB4" i="9"/>
  <c r="I4" i="9"/>
  <c r="AR48" i="8"/>
  <c r="AR47" i="8"/>
  <c r="AR46" i="8"/>
  <c r="AR45" i="8"/>
  <c r="AR36" i="8"/>
  <c r="AR37" i="8"/>
  <c r="AR38" i="8"/>
  <c r="AR39" i="8"/>
  <c r="AR40" i="8"/>
  <c r="AR41" i="8"/>
  <c r="AR42" i="8"/>
  <c r="AR43" i="8"/>
  <c r="AR44" i="8"/>
  <c r="AR35" i="8"/>
  <c r="AR32" i="8"/>
  <c r="AR27" i="8"/>
  <c r="AR26" i="8"/>
  <c r="AR31" i="8"/>
  <c r="AR30" i="8"/>
  <c r="AR29" i="8"/>
  <c r="AR28" i="8"/>
  <c r="AR34" i="8"/>
  <c r="AR33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R6" i="8"/>
  <c r="AR5" i="8"/>
  <c r="AR4" i="8"/>
  <c r="AJ4" i="5"/>
  <c r="AK4" i="6"/>
  <c r="AJ4" i="8"/>
  <c r="AG5" i="8"/>
  <c r="AF5" i="8"/>
  <c r="AE5" i="8"/>
  <c r="AH5" i="8" s="1"/>
  <c r="AD4" i="8"/>
  <c r="AC4" i="6"/>
  <c r="AB4" i="8"/>
  <c r="Y5" i="8"/>
  <c r="Y6" i="8" s="1"/>
  <c r="Y7" i="8" s="1"/>
  <c r="Y8" i="8" s="1"/>
  <c r="X5" i="8"/>
  <c r="X6" i="8" s="1"/>
  <c r="X7" i="8" s="1"/>
  <c r="X8" i="8" s="1"/>
  <c r="Q32" i="8"/>
  <c r="I4" i="8"/>
  <c r="E5" i="8"/>
  <c r="I5" i="8" s="1"/>
  <c r="E8" i="6"/>
  <c r="E7" i="6"/>
  <c r="E4" i="6"/>
  <c r="AP35" i="7"/>
  <c r="AP36" i="7"/>
  <c r="AP37" i="7"/>
  <c r="AP38" i="7"/>
  <c r="AP39" i="7"/>
  <c r="AP40" i="7"/>
  <c r="AP34" i="7"/>
  <c r="AP33" i="7"/>
  <c r="AP32" i="7"/>
  <c r="AP31" i="7"/>
  <c r="AP30" i="7"/>
  <c r="AP29" i="7"/>
  <c r="AP28" i="7"/>
  <c r="AP27" i="7"/>
  <c r="AP26" i="7"/>
  <c r="AP25" i="7"/>
  <c r="AP24" i="7"/>
  <c r="AP23" i="7"/>
  <c r="AP22" i="7"/>
  <c r="AP21" i="7"/>
  <c r="AP20" i="7"/>
  <c r="AP19" i="7"/>
  <c r="AP18" i="7"/>
  <c r="AP17" i="7"/>
  <c r="AP16" i="7"/>
  <c r="AP15" i="7"/>
  <c r="AP14" i="7"/>
  <c r="AP13" i="7"/>
  <c r="AP12" i="7"/>
  <c r="AP11" i="7"/>
  <c r="AP10" i="7"/>
  <c r="AP9" i="7"/>
  <c r="AP8" i="7"/>
  <c r="AP7" i="7"/>
  <c r="AP6" i="7"/>
  <c r="AP5" i="7"/>
  <c r="AP4" i="7"/>
  <c r="L40" i="7"/>
  <c r="L41" i="7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39" i="7"/>
  <c r="E41" i="7"/>
  <c r="E42" i="7" s="1"/>
  <c r="E40" i="7"/>
  <c r="I40" i="7"/>
  <c r="H40" i="7" s="1"/>
  <c r="I41" i="7"/>
  <c r="H41" i="7" s="1"/>
  <c r="H39" i="7"/>
  <c r="I39" i="7"/>
  <c r="W5" i="6"/>
  <c r="AQ54" i="6"/>
  <c r="AQ53" i="6"/>
  <c r="AQ52" i="6"/>
  <c r="AQ51" i="6"/>
  <c r="AQ50" i="6"/>
  <c r="AQ49" i="6"/>
  <c r="AQ48" i="6"/>
  <c r="AQ47" i="6"/>
  <c r="AQ46" i="6"/>
  <c r="AQ45" i="6"/>
  <c r="AQ44" i="6"/>
  <c r="AQ43" i="6"/>
  <c r="AQ42" i="6"/>
  <c r="AQ41" i="6"/>
  <c r="AQ40" i="6"/>
  <c r="AQ39" i="6"/>
  <c r="AQ38" i="6"/>
  <c r="AQ37" i="6"/>
  <c r="AQ36" i="6"/>
  <c r="AQ35" i="6"/>
  <c r="AQ34" i="6"/>
  <c r="AQ33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L6" i="6"/>
  <c r="L7" i="6" s="1"/>
  <c r="L8" i="6" s="1"/>
  <c r="L9" i="6" s="1"/>
  <c r="L10" i="6" s="1"/>
  <c r="L11" i="6" s="1"/>
  <c r="L12" i="6" s="1"/>
  <c r="L13" i="6" s="1"/>
  <c r="L14" i="6" s="1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L31" i="6" s="1"/>
  <c r="L32" i="6" s="1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L48" i="6" s="1"/>
  <c r="L49" i="6" s="1"/>
  <c r="L50" i="6" s="1"/>
  <c r="L51" i="6" s="1"/>
  <c r="L52" i="6" s="1"/>
  <c r="L53" i="6" s="1"/>
  <c r="AQ5" i="6"/>
  <c r="AF5" i="6"/>
  <c r="AE5" i="6"/>
  <c r="AD5" i="6"/>
  <c r="X5" i="6"/>
  <c r="X6" i="6" s="1"/>
  <c r="W6" i="6"/>
  <c r="W7" i="6" s="1"/>
  <c r="W8" i="6" s="1"/>
  <c r="W9" i="6" s="1"/>
  <c r="W10" i="6" s="1"/>
  <c r="L5" i="6"/>
  <c r="AQ4" i="6"/>
  <c r="AJ4" i="6"/>
  <c r="AA4" i="6"/>
  <c r="Y4" i="6"/>
  <c r="E5" i="6"/>
  <c r="I5" i="6" s="1"/>
  <c r="AQ36" i="5"/>
  <c r="AQ37" i="5"/>
  <c r="AQ38" i="5"/>
  <c r="AQ39" i="5"/>
  <c r="AQ40" i="5"/>
  <c r="AQ41" i="5"/>
  <c r="AQ42" i="5"/>
  <c r="AQ43" i="5"/>
  <c r="AQ44" i="5"/>
  <c r="AQ45" i="5"/>
  <c r="AQ46" i="5"/>
  <c r="AQ47" i="5"/>
  <c r="AQ48" i="5"/>
  <c r="AQ49" i="5"/>
  <c r="AQ50" i="5"/>
  <c r="AQ51" i="5"/>
  <c r="AQ52" i="5"/>
  <c r="AQ53" i="5"/>
  <c r="AQ54" i="5"/>
  <c r="AQ35" i="5"/>
  <c r="AQ34" i="5"/>
  <c r="AQ33" i="5"/>
  <c r="AQ31" i="5"/>
  <c r="AQ32" i="5"/>
  <c r="AQ30" i="5"/>
  <c r="AQ29" i="5"/>
  <c r="AQ28" i="5"/>
  <c r="AQ27" i="5"/>
  <c r="AQ26" i="5"/>
  <c r="AQ25" i="5"/>
  <c r="AQ18" i="5"/>
  <c r="AQ19" i="5"/>
  <c r="AQ17" i="5"/>
  <c r="AQ13" i="5"/>
  <c r="AQ8" i="5"/>
  <c r="AQ9" i="5"/>
  <c r="AQ10" i="5"/>
  <c r="AI4" i="5"/>
  <c r="AF5" i="5"/>
  <c r="AE5" i="5"/>
  <c r="AD5" i="5"/>
  <c r="AC4" i="5"/>
  <c r="AA4" i="5"/>
  <c r="Y4" i="5"/>
  <c r="X5" i="5"/>
  <c r="X6" i="5" s="1"/>
  <c r="X7" i="5" s="1"/>
  <c r="W5" i="5"/>
  <c r="W6" i="5" s="1"/>
  <c r="W7" i="5" s="1"/>
  <c r="W8" i="5" s="1"/>
  <c r="W9" i="5" s="1"/>
  <c r="W10" i="5" s="1"/>
  <c r="H5" i="3"/>
  <c r="I4" i="3"/>
  <c r="L5" i="2"/>
  <c r="L6" i="2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H5" i="4"/>
  <c r="I5" i="4"/>
  <c r="AJ4" i="4"/>
  <c r="AI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4" i="4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4" i="3"/>
  <c r="Y5" i="1"/>
  <c r="Y6" i="1"/>
  <c r="Y7" i="1"/>
  <c r="Y4" i="1"/>
  <c r="Y5" i="2"/>
  <c r="AA4" i="4"/>
  <c r="X5" i="4"/>
  <c r="X6" i="4" s="1"/>
  <c r="X7" i="4" s="1"/>
  <c r="X8" i="4" s="1"/>
  <c r="X9" i="4" s="1"/>
  <c r="X10" i="4" s="1"/>
  <c r="X11" i="4" s="1"/>
  <c r="X12" i="4" s="1"/>
  <c r="X13" i="4" s="1"/>
  <c r="X14" i="4" s="1"/>
  <c r="X15" i="4" s="1"/>
  <c r="X16" i="4" s="1"/>
  <c r="X17" i="4" s="1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X28" i="4" s="1"/>
  <c r="X29" i="4" s="1"/>
  <c r="X30" i="4" s="1"/>
  <c r="X31" i="4" s="1"/>
  <c r="X32" i="4" s="1"/>
  <c r="X33" i="4" s="1"/>
  <c r="X34" i="4" s="1"/>
  <c r="X35" i="4" s="1"/>
  <c r="X36" i="4" s="1"/>
  <c r="X37" i="4" s="1"/>
  <c r="X38" i="4" s="1"/>
  <c r="X39" i="4" s="1"/>
  <c r="X40" i="4" s="1"/>
  <c r="X41" i="4" s="1"/>
  <c r="X42" i="4" s="1"/>
  <c r="X43" i="4" s="1"/>
  <c r="X44" i="4" s="1"/>
  <c r="X45" i="4" s="1"/>
  <c r="X46" i="4" s="1"/>
  <c r="X47" i="4" s="1"/>
  <c r="X48" i="4" s="1"/>
  <c r="X49" i="4" s="1"/>
  <c r="X50" i="4" s="1"/>
  <c r="X51" i="4" s="1"/>
  <c r="X52" i="4" s="1"/>
  <c r="X53" i="4" s="1"/>
  <c r="W5" i="4"/>
  <c r="W6" i="4" s="1"/>
  <c r="W7" i="4" s="1"/>
  <c r="W8" i="4" s="1"/>
  <c r="W9" i="4" s="1"/>
  <c r="W10" i="4" s="1"/>
  <c r="W11" i="4" s="1"/>
  <c r="W12" i="4" s="1"/>
  <c r="W13" i="4" s="1"/>
  <c r="W14" i="4" s="1"/>
  <c r="W15" i="4" s="1"/>
  <c r="W16" i="4" s="1"/>
  <c r="W17" i="4" s="1"/>
  <c r="W18" i="4" s="1"/>
  <c r="W19" i="4" s="1"/>
  <c r="W20" i="4" s="1"/>
  <c r="W21" i="4" s="1"/>
  <c r="W22" i="4" s="1"/>
  <c r="W23" i="4" s="1"/>
  <c r="W24" i="4" s="1"/>
  <c r="W25" i="4" s="1"/>
  <c r="W26" i="4" s="1"/>
  <c r="W27" i="4" s="1"/>
  <c r="W28" i="4" s="1"/>
  <c r="W29" i="4" s="1"/>
  <c r="W30" i="4" s="1"/>
  <c r="W31" i="4" s="1"/>
  <c r="W32" i="4" s="1"/>
  <c r="W33" i="4" s="1"/>
  <c r="W34" i="4" s="1"/>
  <c r="W35" i="4" s="1"/>
  <c r="W36" i="4" s="1"/>
  <c r="W37" i="4" s="1"/>
  <c r="W38" i="4" s="1"/>
  <c r="W39" i="4" s="1"/>
  <c r="W40" i="4" s="1"/>
  <c r="W41" i="4" s="1"/>
  <c r="W42" i="4" s="1"/>
  <c r="W43" i="4" s="1"/>
  <c r="W44" i="4" s="1"/>
  <c r="W45" i="4" s="1"/>
  <c r="W46" i="4" s="1"/>
  <c r="W47" i="4" s="1"/>
  <c r="W48" i="4" s="1"/>
  <c r="W49" i="4" s="1"/>
  <c r="W50" i="4" s="1"/>
  <c r="W51" i="4" s="1"/>
  <c r="W52" i="4" s="1"/>
  <c r="W53" i="4" s="1"/>
  <c r="AC4" i="4"/>
  <c r="AF5" i="4"/>
  <c r="AE5" i="4"/>
  <c r="AD5" i="4"/>
  <c r="AG5" i="4" s="1"/>
  <c r="AK4" i="4" s="1"/>
  <c r="AJ4" i="2"/>
  <c r="AC4" i="1"/>
  <c r="AJ4" i="1"/>
  <c r="AJ4" i="3"/>
  <c r="AI4" i="3"/>
  <c r="AF5" i="3"/>
  <c r="AE5" i="3"/>
  <c r="AD5" i="3"/>
  <c r="AG5" i="3" s="1"/>
  <c r="AC4" i="3"/>
  <c r="AA4" i="3"/>
  <c r="X5" i="3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" i="1"/>
  <c r="X6" i="1" s="1"/>
  <c r="X7" i="1" s="1"/>
  <c r="W5" i="3"/>
  <c r="W6" i="3" s="1"/>
  <c r="W7" i="3" s="1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AQ38" i="4"/>
  <c r="AQ30" i="4"/>
  <c r="AQ31" i="4"/>
  <c r="AQ32" i="4"/>
  <c r="AQ35" i="4"/>
  <c r="AQ5" i="4"/>
  <c r="AQ6" i="4"/>
  <c r="AQ7" i="4"/>
  <c r="AQ8" i="4"/>
  <c r="AQ9" i="4"/>
  <c r="AQ10" i="4"/>
  <c r="AQ11" i="4"/>
  <c r="AQ29" i="4"/>
  <c r="I6" i="4"/>
  <c r="I7" i="4"/>
  <c r="I8" i="4"/>
  <c r="I9" i="4"/>
  <c r="I10" i="4"/>
  <c r="AQ24" i="5"/>
  <c r="AQ23" i="5"/>
  <c r="AQ22" i="5"/>
  <c r="AQ21" i="5"/>
  <c r="AQ20" i="5"/>
  <c r="AQ15" i="5"/>
  <c r="AQ14" i="5"/>
  <c r="AQ16" i="5"/>
  <c r="AQ12" i="5"/>
  <c r="AQ11" i="5"/>
  <c r="AQ7" i="5"/>
  <c r="AQ6" i="5"/>
  <c r="AQ5" i="5"/>
  <c r="L5" i="5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AQ4" i="5"/>
  <c r="E4" i="5"/>
  <c r="I4" i="5" s="1"/>
  <c r="E10" i="4"/>
  <c r="AQ64" i="4"/>
  <c r="AQ63" i="4"/>
  <c r="AQ62" i="4"/>
  <c r="AQ61" i="4"/>
  <c r="AQ60" i="4"/>
  <c r="AQ59" i="4"/>
  <c r="AQ58" i="4"/>
  <c r="AQ57" i="4"/>
  <c r="AQ56" i="4"/>
  <c r="AQ55" i="4"/>
  <c r="AQ54" i="4"/>
  <c r="AQ53" i="4"/>
  <c r="AQ52" i="4"/>
  <c r="AQ51" i="4"/>
  <c r="AQ50" i="4"/>
  <c r="AQ49" i="4"/>
  <c r="AQ48" i="4"/>
  <c r="AQ47" i="4"/>
  <c r="AQ46" i="4"/>
  <c r="AQ45" i="4"/>
  <c r="AQ39" i="4"/>
  <c r="AQ34" i="4"/>
  <c r="AQ33" i="4"/>
  <c r="AQ37" i="4"/>
  <c r="AQ36" i="4"/>
  <c r="AQ28" i="4"/>
  <c r="AQ27" i="4"/>
  <c r="AQ26" i="4"/>
  <c r="AQ25" i="4"/>
  <c r="AQ24" i="4"/>
  <c r="AQ23" i="4"/>
  <c r="AQ22" i="4"/>
  <c r="AQ21" i="4"/>
  <c r="AQ20" i="4"/>
  <c r="AQ19" i="4"/>
  <c r="AQ18" i="4"/>
  <c r="AQ17" i="4"/>
  <c r="AQ16" i="4"/>
  <c r="AQ15" i="4"/>
  <c r="AQ14" i="4"/>
  <c r="AQ13" i="4"/>
  <c r="AQ12" i="4"/>
  <c r="L5" i="4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AQ4" i="4"/>
  <c r="E4" i="4"/>
  <c r="I4" i="4" s="1"/>
  <c r="L6" i="3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" i="3"/>
  <c r="E10" i="3"/>
  <c r="E11" i="3" s="1"/>
  <c r="E4" i="3"/>
  <c r="I5" i="3"/>
  <c r="I6" i="3"/>
  <c r="I7" i="3"/>
  <c r="H7" i="3" s="1"/>
  <c r="I8" i="3"/>
  <c r="H8" i="3" s="1"/>
  <c r="I9" i="3"/>
  <c r="H9" i="3" s="1"/>
  <c r="H6" i="3"/>
  <c r="H53" i="2"/>
  <c r="H52" i="2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4" i="3"/>
  <c r="AQ45" i="1"/>
  <c r="AQ33" i="1"/>
  <c r="AQ32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4" i="1"/>
  <c r="AQ35" i="1"/>
  <c r="AQ36" i="1"/>
  <c r="AQ37" i="1"/>
  <c r="AQ38" i="1"/>
  <c r="AQ39" i="1"/>
  <c r="AQ40" i="1"/>
  <c r="AQ41" i="1"/>
  <c r="AQ42" i="1"/>
  <c r="AQ43" i="1"/>
  <c r="AQ44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4" i="1"/>
  <c r="AI4" i="1"/>
  <c r="AF5" i="1"/>
  <c r="AE5" i="1"/>
  <c r="AD5" i="1"/>
  <c r="AG5" i="1" s="1"/>
  <c r="AK4" i="1" s="1"/>
  <c r="AA4" i="1"/>
  <c r="W5" i="1"/>
  <c r="W6" i="1" s="1"/>
  <c r="W7" i="1" s="1"/>
  <c r="E8" i="12"/>
  <c r="I8" i="12" s="1"/>
  <c r="I7" i="12"/>
  <c r="I6" i="12"/>
  <c r="L5" i="12"/>
  <c r="L6" i="12" s="1"/>
  <c r="L7" i="12" s="1"/>
  <c r="L8" i="12" s="1"/>
  <c r="L9" i="12" s="1"/>
  <c r="L10" i="12" s="1"/>
  <c r="L11" i="12" s="1"/>
  <c r="L12" i="12" s="1"/>
  <c r="L13" i="12" s="1"/>
  <c r="L14" i="12" s="1"/>
  <c r="L15" i="12" s="1"/>
  <c r="L16" i="12" s="1"/>
  <c r="L17" i="12" s="1"/>
  <c r="L18" i="12" s="1"/>
  <c r="L19" i="12" s="1"/>
  <c r="L20" i="12" s="1"/>
  <c r="L21" i="12" s="1"/>
  <c r="L22" i="12" s="1"/>
  <c r="L23" i="12" s="1"/>
  <c r="L24" i="12" s="1"/>
  <c r="L25" i="12" s="1"/>
  <c r="L26" i="12" s="1"/>
  <c r="L27" i="12" s="1"/>
  <c r="L28" i="12" s="1"/>
  <c r="L29" i="12" s="1"/>
  <c r="L30" i="12" s="1"/>
  <c r="L31" i="12" s="1"/>
  <c r="L32" i="12" s="1"/>
  <c r="L33" i="12" s="1"/>
  <c r="L34" i="12" s="1"/>
  <c r="L35" i="12" s="1"/>
  <c r="L36" i="12" s="1"/>
  <c r="L37" i="12" s="1"/>
  <c r="L38" i="12" s="1"/>
  <c r="L39" i="12" s="1"/>
  <c r="L40" i="12" s="1"/>
  <c r="L41" i="12" s="1"/>
  <c r="L42" i="12" s="1"/>
  <c r="L43" i="12" s="1"/>
  <c r="L44" i="12" s="1"/>
  <c r="L45" i="12" s="1"/>
  <c r="L46" i="12" s="1"/>
  <c r="L47" i="12" s="1"/>
  <c r="L48" i="12" s="1"/>
  <c r="L49" i="12" s="1"/>
  <c r="L50" i="12" s="1"/>
  <c r="L51" i="12" s="1"/>
  <c r="L52" i="12" s="1"/>
  <c r="L53" i="12" s="1"/>
  <c r="I5" i="12"/>
  <c r="I4" i="12"/>
  <c r="L5" i="8"/>
  <c r="L6" i="8" s="1"/>
  <c r="L7" i="8" s="1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I7" i="1"/>
  <c r="I6" i="1"/>
  <c r="I5" i="1"/>
  <c r="I4" i="1"/>
  <c r="I53" i="2"/>
  <c r="E53" i="2"/>
  <c r="E8" i="1"/>
  <c r="E9" i="1" s="1"/>
  <c r="I9" i="1" s="1"/>
  <c r="AQ43" i="2"/>
  <c r="AQ38" i="2"/>
  <c r="AQ37" i="2"/>
  <c r="AQ31" i="2"/>
  <c r="AQ27" i="2"/>
  <c r="AQ23" i="2"/>
  <c r="AQ22" i="2"/>
  <c r="AQ24" i="2"/>
  <c r="AQ25" i="2"/>
  <c r="AQ18" i="2"/>
  <c r="AQ8" i="2"/>
  <c r="AQ9" i="2"/>
  <c r="AQ10" i="2"/>
  <c r="AQ5" i="2"/>
  <c r="AQ6" i="2"/>
  <c r="AQ7" i="2"/>
  <c r="AQ11" i="2"/>
  <c r="AQ12" i="2"/>
  <c r="AQ13" i="2"/>
  <c r="AQ14" i="2"/>
  <c r="AQ15" i="2"/>
  <c r="AQ16" i="2"/>
  <c r="AQ17" i="2"/>
  <c r="AQ19" i="2"/>
  <c r="AQ20" i="2"/>
  <c r="AQ21" i="2"/>
  <c r="AQ26" i="2"/>
  <c r="AQ28" i="2"/>
  <c r="AQ29" i="2"/>
  <c r="AQ30" i="2"/>
  <c r="AQ32" i="2"/>
  <c r="AQ33" i="2"/>
  <c r="AQ34" i="2"/>
  <c r="AQ35" i="2"/>
  <c r="AQ36" i="2"/>
  <c r="AQ39" i="2"/>
  <c r="AQ40" i="2"/>
  <c r="AQ41" i="2"/>
  <c r="AQ42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4" i="2"/>
  <c r="I6" i="11" l="1"/>
  <c r="E7" i="11"/>
  <c r="I7" i="11" s="1"/>
  <c r="Y6" i="11"/>
  <c r="X7" i="11"/>
  <c r="Y5" i="11"/>
  <c r="I5" i="11"/>
  <c r="H5" i="11"/>
  <c r="L34" i="11"/>
  <c r="L35" i="11" s="1"/>
  <c r="L36" i="11" s="1"/>
  <c r="L37" i="11" s="1"/>
  <c r="L38" i="11" s="1"/>
  <c r="L39" i="11" s="1"/>
  <c r="L40" i="11" s="1"/>
  <c r="L41" i="11" s="1"/>
  <c r="L42" i="11" s="1"/>
  <c r="L43" i="11" s="1"/>
  <c r="L44" i="11" s="1"/>
  <c r="L45" i="11" s="1"/>
  <c r="L46" i="11" s="1"/>
  <c r="L47" i="11" s="1"/>
  <c r="L48" i="11" s="1"/>
  <c r="L49" i="11" s="1"/>
  <c r="L50" i="11" s="1"/>
  <c r="L51" i="11" s="1"/>
  <c r="L52" i="11" s="1"/>
  <c r="L53" i="11" s="1"/>
  <c r="E8" i="11"/>
  <c r="AK4" i="11"/>
  <c r="AG5" i="10"/>
  <c r="AK4" i="10" s="1"/>
  <c r="Y5" i="10"/>
  <c r="X6" i="10"/>
  <c r="X7" i="10" s="1"/>
  <c r="X8" i="10" s="1"/>
  <c r="W7" i="10"/>
  <c r="W8" i="10" s="1"/>
  <c r="W9" i="10" s="1"/>
  <c r="W10" i="10" s="1"/>
  <c r="E5" i="10"/>
  <c r="AL4" i="9"/>
  <c r="AL4" i="8"/>
  <c r="I6" i="9"/>
  <c r="E7" i="9"/>
  <c r="I5" i="9"/>
  <c r="H5" i="9" s="1"/>
  <c r="H5" i="8"/>
  <c r="E6" i="8"/>
  <c r="I42" i="7"/>
  <c r="H42" i="7" s="1"/>
  <c r="E43" i="7"/>
  <c r="AG5" i="6"/>
  <c r="Y6" i="6"/>
  <c r="X7" i="6"/>
  <c r="E6" i="6"/>
  <c r="Y5" i="6"/>
  <c r="I4" i="6"/>
  <c r="H5" i="6" s="1"/>
  <c r="AG5" i="5"/>
  <c r="AK4" i="5" s="1"/>
  <c r="Y7" i="5"/>
  <c r="Y6" i="5"/>
  <c r="Y5" i="5"/>
  <c r="X8" i="5"/>
  <c r="Y8" i="5" s="1"/>
  <c r="E5" i="5"/>
  <c r="I5" i="5" s="1"/>
  <c r="H5" i="5" s="1"/>
  <c r="AK4" i="3"/>
  <c r="I10" i="3"/>
  <c r="H10" i="3" s="1"/>
  <c r="E11" i="4"/>
  <c r="H7" i="4"/>
  <c r="H9" i="4"/>
  <c r="H8" i="4"/>
  <c r="H10" i="4"/>
  <c r="I11" i="3"/>
  <c r="H11" i="3" s="1"/>
  <c r="E12" i="3"/>
  <c r="E9" i="12"/>
  <c r="I8" i="1"/>
  <c r="E10" i="1"/>
  <c r="I10" i="1" s="1"/>
  <c r="AC4" i="2"/>
  <c r="AI4" i="2"/>
  <c r="AK4" i="2" s="1"/>
  <c r="Y4" i="2"/>
  <c r="AA4" i="2"/>
  <c r="AF5" i="2"/>
  <c r="AG5" i="2" s="1"/>
  <c r="AE5" i="2"/>
  <c r="AD5" i="2"/>
  <c r="X5" i="2"/>
  <c r="W5" i="2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H6" i="11" l="1"/>
  <c r="H7" i="11"/>
  <c r="X8" i="11"/>
  <c r="Y7" i="11"/>
  <c r="I8" i="11"/>
  <c r="H8" i="11" s="1"/>
  <c r="E9" i="11"/>
  <c r="Y6" i="10"/>
  <c r="Y7" i="10"/>
  <c r="I5" i="10"/>
  <c r="H5" i="10" s="1"/>
  <c r="E6" i="10"/>
  <c r="X9" i="10"/>
  <c r="Y8" i="10"/>
  <c r="I7" i="9"/>
  <c r="H7" i="9" s="1"/>
  <c r="E8" i="9"/>
  <c r="H6" i="9"/>
  <c r="E7" i="8"/>
  <c r="I6" i="8"/>
  <c r="H6" i="8" s="1"/>
  <c r="I43" i="7"/>
  <c r="H43" i="7" s="1"/>
  <c r="E44" i="7"/>
  <c r="I6" i="6"/>
  <c r="H6" i="6" s="1"/>
  <c r="Y7" i="6"/>
  <c r="X8" i="6"/>
  <c r="X9" i="5"/>
  <c r="Y9" i="5" s="1"/>
  <c r="E6" i="5"/>
  <c r="I6" i="5" s="1"/>
  <c r="H6" i="5" s="1"/>
  <c r="E12" i="4"/>
  <c r="I11" i="4"/>
  <c r="H11" i="4"/>
  <c r="I12" i="3"/>
  <c r="H12" i="3" s="1"/>
  <c r="E13" i="3"/>
  <c r="E10" i="12"/>
  <c r="I9" i="12"/>
  <c r="E11" i="1"/>
  <c r="I11" i="1" s="1"/>
  <c r="X6" i="2"/>
  <c r="X9" i="11" l="1"/>
  <c r="Y8" i="11"/>
  <c r="I9" i="11"/>
  <c r="H9" i="11" s="1"/>
  <c r="E10" i="11"/>
  <c r="X10" i="5"/>
  <c r="Y10" i="5" s="1"/>
  <c r="X10" i="10"/>
  <c r="Y10" i="10" s="1"/>
  <c r="Y9" i="10"/>
  <c r="I6" i="10"/>
  <c r="H6" i="10" s="1"/>
  <c r="E7" i="10"/>
  <c r="I8" i="9"/>
  <c r="H8" i="9" s="1"/>
  <c r="E9" i="9"/>
  <c r="E8" i="8"/>
  <c r="I7" i="8"/>
  <c r="H7" i="8" s="1"/>
  <c r="I44" i="7"/>
  <c r="H44" i="7" s="1"/>
  <c r="E45" i="7"/>
  <c r="Y8" i="6"/>
  <c r="X9" i="6"/>
  <c r="I7" i="6"/>
  <c r="H7" i="6" s="1"/>
  <c r="E7" i="5"/>
  <c r="I7" i="5" s="1"/>
  <c r="H7" i="5" s="1"/>
  <c r="E13" i="4"/>
  <c r="I12" i="4"/>
  <c r="H12" i="4" s="1"/>
  <c r="I13" i="3"/>
  <c r="H13" i="3" s="1"/>
  <c r="E14" i="3"/>
  <c r="E11" i="12"/>
  <c r="I10" i="12"/>
  <c r="E12" i="1"/>
  <c r="I12" i="1" s="1"/>
  <c r="X7" i="2"/>
  <c r="Y6" i="2"/>
  <c r="E35" i="2"/>
  <c r="E36" i="2" s="1"/>
  <c r="E25" i="2"/>
  <c r="I25" i="2" s="1"/>
  <c r="I17" i="2"/>
  <c r="I18" i="2"/>
  <c r="I19" i="2"/>
  <c r="I20" i="2"/>
  <c r="I21" i="2"/>
  <c r="I22" i="2"/>
  <c r="I23" i="2"/>
  <c r="I24" i="2"/>
  <c r="H24" i="2" s="1"/>
  <c r="I16" i="2"/>
  <c r="I15" i="2"/>
  <c r="H16" i="2" s="1"/>
  <c r="X10" i="11" l="1"/>
  <c r="Y9" i="11"/>
  <c r="I10" i="11"/>
  <c r="H10" i="11" s="1"/>
  <c r="E11" i="11"/>
  <c r="I7" i="10"/>
  <c r="H7" i="10" s="1"/>
  <c r="E8" i="10"/>
  <c r="I9" i="9"/>
  <c r="H9" i="9" s="1"/>
  <c r="E10" i="9"/>
  <c r="E9" i="8"/>
  <c r="I8" i="8"/>
  <c r="H8" i="8" s="1"/>
  <c r="I45" i="7"/>
  <c r="H45" i="7" s="1"/>
  <c r="E46" i="7"/>
  <c r="I8" i="6"/>
  <c r="H8" i="6" s="1"/>
  <c r="E9" i="6"/>
  <c r="Y9" i="6"/>
  <c r="X10" i="6"/>
  <c r="Y10" i="6" s="1"/>
  <c r="E8" i="5"/>
  <c r="I8" i="5" s="1"/>
  <c r="H8" i="5" s="1"/>
  <c r="I13" i="4"/>
  <c r="H13" i="4" s="1"/>
  <c r="E14" i="4"/>
  <c r="I14" i="3"/>
  <c r="H14" i="3" s="1"/>
  <c r="E15" i="3"/>
  <c r="I11" i="12"/>
  <c r="E12" i="12"/>
  <c r="E13" i="1"/>
  <c r="I13" i="1" s="1"/>
  <c r="H19" i="2"/>
  <c r="X8" i="2"/>
  <c r="Y7" i="2"/>
  <c r="H20" i="2"/>
  <c r="H18" i="2"/>
  <c r="H23" i="2"/>
  <c r="H25" i="2"/>
  <c r="H22" i="2"/>
  <c r="H21" i="2"/>
  <c r="E37" i="2"/>
  <c r="I36" i="2"/>
  <c r="E26" i="2"/>
  <c r="E27" i="2" s="1"/>
  <c r="E28" i="2" s="1"/>
  <c r="H17" i="2"/>
  <c r="I35" i="2"/>
  <c r="H15" i="2"/>
  <c r="X11" i="11" l="1"/>
  <c r="Y10" i="11"/>
  <c r="I11" i="11"/>
  <c r="H11" i="11" s="1"/>
  <c r="E12" i="11"/>
  <c r="I8" i="10"/>
  <c r="H8" i="10" s="1"/>
  <c r="E9" i="10"/>
  <c r="I10" i="9"/>
  <c r="H10" i="9" s="1"/>
  <c r="E11" i="9"/>
  <c r="E10" i="8"/>
  <c r="I9" i="8"/>
  <c r="H9" i="8" s="1"/>
  <c r="I46" i="7"/>
  <c r="H46" i="7" s="1"/>
  <c r="E47" i="7"/>
  <c r="I9" i="6"/>
  <c r="H9" i="6" s="1"/>
  <c r="E10" i="6"/>
  <c r="E9" i="5"/>
  <c r="I9" i="5" s="1"/>
  <c r="H9" i="5" s="1"/>
  <c r="I14" i="4"/>
  <c r="H14" i="4" s="1"/>
  <c r="E15" i="4"/>
  <c r="E16" i="3"/>
  <c r="I15" i="3"/>
  <c r="H15" i="3" s="1"/>
  <c r="I12" i="12"/>
  <c r="E13" i="12"/>
  <c r="E14" i="1"/>
  <c r="I14" i="1" s="1"/>
  <c r="Y8" i="2"/>
  <c r="X9" i="2"/>
  <c r="I27" i="2"/>
  <c r="I26" i="2"/>
  <c r="H26" i="2" s="1"/>
  <c r="E38" i="2"/>
  <c r="I37" i="2"/>
  <c r="E29" i="2"/>
  <c r="I28" i="2"/>
  <c r="X12" i="11" l="1"/>
  <c r="Y11" i="11"/>
  <c r="E13" i="11"/>
  <c r="I12" i="11"/>
  <c r="H12" i="11" s="1"/>
  <c r="I9" i="10"/>
  <c r="H9" i="10" s="1"/>
  <c r="E10" i="10"/>
  <c r="I11" i="9"/>
  <c r="H11" i="9" s="1"/>
  <c r="E12" i="9"/>
  <c r="E11" i="8"/>
  <c r="I10" i="8"/>
  <c r="H10" i="8" s="1"/>
  <c r="E48" i="7"/>
  <c r="I47" i="7"/>
  <c r="H47" i="7" s="1"/>
  <c r="I10" i="6"/>
  <c r="H10" i="6" s="1"/>
  <c r="E11" i="6"/>
  <c r="E10" i="5"/>
  <c r="I10" i="5" s="1"/>
  <c r="H10" i="5" s="1"/>
  <c r="I15" i="4"/>
  <c r="H15" i="4" s="1"/>
  <c r="E16" i="4"/>
  <c r="I16" i="3"/>
  <c r="H16" i="3" s="1"/>
  <c r="E17" i="3"/>
  <c r="I13" i="12"/>
  <c r="E14" i="12"/>
  <c r="E15" i="1"/>
  <c r="I15" i="1" s="1"/>
  <c r="H28" i="2"/>
  <c r="Y9" i="2"/>
  <c r="X10" i="2"/>
  <c r="H27" i="2"/>
  <c r="E39" i="2"/>
  <c r="I38" i="2"/>
  <c r="I29" i="2"/>
  <c r="H29" i="2" s="1"/>
  <c r="E30" i="2"/>
  <c r="X13" i="11" l="1"/>
  <c r="Y13" i="11" s="1"/>
  <c r="Y12" i="11"/>
  <c r="I13" i="11"/>
  <c r="H13" i="11" s="1"/>
  <c r="E14" i="11"/>
  <c r="I10" i="10"/>
  <c r="H10" i="10" s="1"/>
  <c r="E11" i="10"/>
  <c r="E13" i="9"/>
  <c r="I12" i="9"/>
  <c r="H12" i="9" s="1"/>
  <c r="E12" i="8"/>
  <c r="I11" i="8"/>
  <c r="H11" i="8" s="1"/>
  <c r="E49" i="7"/>
  <c r="I48" i="7"/>
  <c r="H48" i="7" s="1"/>
  <c r="I11" i="6"/>
  <c r="H11" i="6" s="1"/>
  <c r="E12" i="6"/>
  <c r="E11" i="5"/>
  <c r="I11" i="5" s="1"/>
  <c r="H11" i="5" s="1"/>
  <c r="I16" i="4"/>
  <c r="H16" i="4" s="1"/>
  <c r="E17" i="4"/>
  <c r="E18" i="3"/>
  <c r="I17" i="3"/>
  <c r="H17" i="3" s="1"/>
  <c r="E15" i="12"/>
  <c r="I14" i="12"/>
  <c r="E16" i="1"/>
  <c r="Y10" i="2"/>
  <c r="X11" i="2"/>
  <c r="E40" i="2"/>
  <c r="I39" i="2"/>
  <c r="E31" i="2"/>
  <c r="I30" i="2"/>
  <c r="H30" i="2" s="1"/>
  <c r="E15" i="11" l="1"/>
  <c r="I14" i="11"/>
  <c r="H14" i="11" s="1"/>
  <c r="E12" i="10"/>
  <c r="I11" i="10"/>
  <c r="H11" i="10" s="1"/>
  <c r="E14" i="9"/>
  <c r="I13" i="9"/>
  <c r="H13" i="9" s="1"/>
  <c r="E13" i="8"/>
  <c r="I12" i="8"/>
  <c r="H12" i="8" s="1"/>
  <c r="I49" i="7"/>
  <c r="H49" i="7" s="1"/>
  <c r="E50" i="7"/>
  <c r="I12" i="6"/>
  <c r="H12" i="6" s="1"/>
  <c r="E13" i="6"/>
  <c r="E12" i="5"/>
  <c r="I12" i="5" s="1"/>
  <c r="H12" i="5" s="1"/>
  <c r="I17" i="4"/>
  <c r="H17" i="4" s="1"/>
  <c r="E18" i="4"/>
  <c r="I18" i="3"/>
  <c r="H18" i="3" s="1"/>
  <c r="E19" i="3"/>
  <c r="I15" i="12"/>
  <c r="E16" i="12"/>
  <c r="E17" i="12" s="1"/>
  <c r="E18" i="12" s="1"/>
  <c r="E19" i="12" s="1"/>
  <c r="E20" i="12" s="1"/>
  <c r="E21" i="12" s="1"/>
  <c r="E22" i="12" s="1"/>
  <c r="E23" i="12" s="1"/>
  <c r="E17" i="1"/>
  <c r="X12" i="2"/>
  <c r="Y11" i="2"/>
  <c r="E41" i="2"/>
  <c r="I40" i="2"/>
  <c r="I31" i="2"/>
  <c r="H31" i="2" s="1"/>
  <c r="E32" i="2"/>
  <c r="I15" i="11" l="1"/>
  <c r="H15" i="11" s="1"/>
  <c r="E16" i="11"/>
  <c r="E13" i="10"/>
  <c r="I12" i="10"/>
  <c r="H12" i="10" s="1"/>
  <c r="I14" i="9"/>
  <c r="H14" i="9" s="1"/>
  <c r="E15" i="9"/>
  <c r="E14" i="8"/>
  <c r="I13" i="8"/>
  <c r="H13" i="8" s="1"/>
  <c r="I50" i="7"/>
  <c r="H50" i="7" s="1"/>
  <c r="E51" i="7"/>
  <c r="E14" i="6"/>
  <c r="I13" i="6"/>
  <c r="H13" i="6" s="1"/>
  <c r="E13" i="5"/>
  <c r="I13" i="5" s="1"/>
  <c r="H13" i="5" s="1"/>
  <c r="I18" i="4"/>
  <c r="H18" i="4" s="1"/>
  <c r="E19" i="4"/>
  <c r="I19" i="3"/>
  <c r="H19" i="3" s="1"/>
  <c r="E20" i="3"/>
  <c r="E24" i="12"/>
  <c r="I23" i="12"/>
  <c r="E18" i="1"/>
  <c r="Y12" i="2"/>
  <c r="X13" i="2"/>
  <c r="E42" i="2"/>
  <c r="I41" i="2"/>
  <c r="I32" i="2"/>
  <c r="H32" i="2" s="1"/>
  <c r="E33" i="2"/>
  <c r="I16" i="11" l="1"/>
  <c r="H16" i="11" s="1"/>
  <c r="E17" i="11"/>
  <c r="I13" i="10"/>
  <c r="H13" i="10" s="1"/>
  <c r="E14" i="10"/>
  <c r="I15" i="9"/>
  <c r="H15" i="9" s="1"/>
  <c r="E16" i="9"/>
  <c r="E15" i="8"/>
  <c r="I14" i="8"/>
  <c r="H14" i="8" s="1"/>
  <c r="E52" i="7"/>
  <c r="I51" i="7"/>
  <c r="H51" i="7" s="1"/>
  <c r="E15" i="6"/>
  <c r="I14" i="6"/>
  <c r="H14" i="6" s="1"/>
  <c r="E14" i="5"/>
  <c r="I14" i="5" s="1"/>
  <c r="H14" i="5" s="1"/>
  <c r="I19" i="4"/>
  <c r="H19" i="4" s="1"/>
  <c r="E20" i="4"/>
  <c r="E21" i="3"/>
  <c r="I20" i="3"/>
  <c r="H20" i="3" s="1"/>
  <c r="I24" i="12"/>
  <c r="E25" i="12"/>
  <c r="E19" i="1"/>
  <c r="X14" i="2"/>
  <c r="Y13" i="2"/>
  <c r="E43" i="2"/>
  <c r="I42" i="2"/>
  <c r="I33" i="2"/>
  <c r="H33" i="2" s="1"/>
  <c r="E18" i="11" l="1"/>
  <c r="I17" i="11"/>
  <c r="H17" i="11" s="1"/>
  <c r="E15" i="10"/>
  <c r="I14" i="10"/>
  <c r="H14" i="10" s="1"/>
  <c r="E17" i="9"/>
  <c r="I16" i="9"/>
  <c r="H16" i="9" s="1"/>
  <c r="E16" i="8"/>
  <c r="I15" i="8"/>
  <c r="H15" i="8" s="1"/>
  <c r="I52" i="7"/>
  <c r="H52" i="7" s="1"/>
  <c r="E53" i="7"/>
  <c r="I15" i="6"/>
  <c r="H15" i="6" s="1"/>
  <c r="E16" i="6"/>
  <c r="E15" i="5"/>
  <c r="I15" i="5" s="1"/>
  <c r="H15" i="5" s="1"/>
  <c r="I20" i="4"/>
  <c r="H20" i="4" s="1"/>
  <c r="E21" i="4"/>
  <c r="I21" i="3"/>
  <c r="H21" i="3" s="1"/>
  <c r="E22" i="3"/>
  <c r="I25" i="12"/>
  <c r="E26" i="12"/>
  <c r="E27" i="12" s="1"/>
  <c r="E28" i="12" s="1"/>
  <c r="E20" i="1"/>
  <c r="X15" i="2"/>
  <c r="Y14" i="2"/>
  <c r="E44" i="2"/>
  <c r="I43" i="2"/>
  <c r="I34" i="2"/>
  <c r="H34" i="2" s="1"/>
  <c r="I18" i="11" l="1"/>
  <c r="H18" i="11" s="1"/>
  <c r="E19" i="11"/>
  <c r="I15" i="10"/>
  <c r="H15" i="10" s="1"/>
  <c r="E16" i="10"/>
  <c r="I17" i="9"/>
  <c r="H17" i="9" s="1"/>
  <c r="E18" i="9"/>
  <c r="E17" i="8"/>
  <c r="I16" i="8"/>
  <c r="H16" i="8" s="1"/>
  <c r="I53" i="7"/>
  <c r="H53" i="7" s="1"/>
  <c r="E54" i="7"/>
  <c r="E17" i="6"/>
  <c r="I16" i="6"/>
  <c r="H16" i="6" s="1"/>
  <c r="E16" i="5"/>
  <c r="I16" i="5" s="1"/>
  <c r="H16" i="5" s="1"/>
  <c r="I21" i="4"/>
  <c r="H21" i="4" s="1"/>
  <c r="E22" i="4"/>
  <c r="E23" i="3"/>
  <c r="I22" i="3"/>
  <c r="H22" i="3" s="1"/>
  <c r="E29" i="12"/>
  <c r="I28" i="12"/>
  <c r="E21" i="1"/>
  <c r="X16" i="2"/>
  <c r="Y15" i="2"/>
  <c r="E45" i="2"/>
  <c r="I44" i="2"/>
  <c r="H35" i="2"/>
  <c r="I19" i="11" l="1"/>
  <c r="H19" i="11" s="1"/>
  <c r="E20" i="11"/>
  <c r="E17" i="10"/>
  <c r="I16" i="10"/>
  <c r="H16" i="10" s="1"/>
  <c r="I18" i="9"/>
  <c r="H18" i="9" s="1"/>
  <c r="E19" i="9"/>
  <c r="E18" i="8"/>
  <c r="I17" i="8"/>
  <c r="H17" i="8" s="1"/>
  <c r="I54" i="7"/>
  <c r="H54" i="7" s="1"/>
  <c r="E55" i="7"/>
  <c r="I55" i="7" s="1"/>
  <c r="H55" i="7" s="1"/>
  <c r="E18" i="6"/>
  <c r="I17" i="6"/>
  <c r="H17" i="6" s="1"/>
  <c r="E17" i="5"/>
  <c r="I17" i="5" s="1"/>
  <c r="H17" i="5" s="1"/>
  <c r="I22" i="4"/>
  <c r="H22" i="4" s="1"/>
  <c r="E23" i="4"/>
  <c r="I23" i="3"/>
  <c r="H23" i="3" s="1"/>
  <c r="E24" i="3"/>
  <c r="I29" i="12"/>
  <c r="E30" i="12"/>
  <c r="E22" i="1"/>
  <c r="X17" i="2"/>
  <c r="Y16" i="2"/>
  <c r="E46" i="2"/>
  <c r="I45" i="2"/>
  <c r="H36" i="2"/>
  <c r="E21" i="11" l="1"/>
  <c r="I20" i="11"/>
  <c r="H20" i="11" s="1"/>
  <c r="E18" i="10"/>
  <c r="I17" i="10"/>
  <c r="H17" i="10" s="1"/>
  <c r="I19" i="9"/>
  <c r="H19" i="9" s="1"/>
  <c r="E20" i="9"/>
  <c r="E19" i="8"/>
  <c r="I18" i="8"/>
  <c r="H18" i="8" s="1"/>
  <c r="E19" i="6"/>
  <c r="I18" i="6"/>
  <c r="H18" i="6" s="1"/>
  <c r="E18" i="5"/>
  <c r="I18" i="5" s="1"/>
  <c r="H18" i="5" s="1"/>
  <c r="I23" i="4"/>
  <c r="H23" i="4" s="1"/>
  <c r="E24" i="4"/>
  <c r="E25" i="3"/>
  <c r="I24" i="3"/>
  <c r="H24" i="3" s="1"/>
  <c r="I30" i="12"/>
  <c r="E31" i="12"/>
  <c r="E23" i="1"/>
  <c r="I23" i="1" s="1"/>
  <c r="X18" i="2"/>
  <c r="Y17" i="2"/>
  <c r="E47" i="2"/>
  <c r="I46" i="2"/>
  <c r="H37" i="2"/>
  <c r="I21" i="11" l="1"/>
  <c r="H21" i="11" s="1"/>
  <c r="E22" i="11"/>
  <c r="I18" i="10"/>
  <c r="H18" i="10" s="1"/>
  <c r="E19" i="10"/>
  <c r="E21" i="9"/>
  <c r="I20" i="9"/>
  <c r="H20" i="9" s="1"/>
  <c r="E20" i="8"/>
  <c r="I19" i="8"/>
  <c r="H19" i="8" s="1"/>
  <c r="E20" i="6"/>
  <c r="I19" i="6"/>
  <c r="H19" i="6" s="1"/>
  <c r="E19" i="5"/>
  <c r="I19" i="5" s="1"/>
  <c r="H19" i="5" s="1"/>
  <c r="I24" i="4"/>
  <c r="H24" i="4" s="1"/>
  <c r="E25" i="4"/>
  <c r="E26" i="3"/>
  <c r="I25" i="3"/>
  <c r="H25" i="3" s="1"/>
  <c r="I31" i="12"/>
  <c r="E32" i="12"/>
  <c r="E24" i="1"/>
  <c r="I24" i="1" s="1"/>
  <c r="X19" i="2"/>
  <c r="Y18" i="2"/>
  <c r="E48" i="2"/>
  <c r="I47" i="2"/>
  <c r="H38" i="2"/>
  <c r="E23" i="11" l="1"/>
  <c r="I22" i="11"/>
  <c r="H22" i="11" s="1"/>
  <c r="E20" i="10"/>
  <c r="I19" i="10"/>
  <c r="H19" i="10" s="1"/>
  <c r="E22" i="9"/>
  <c r="I21" i="9"/>
  <c r="H21" i="9" s="1"/>
  <c r="E21" i="8"/>
  <c r="I20" i="8"/>
  <c r="H20" i="8" s="1"/>
  <c r="I20" i="6"/>
  <c r="H20" i="6" s="1"/>
  <c r="E21" i="6"/>
  <c r="E20" i="5"/>
  <c r="I25" i="4"/>
  <c r="H25" i="4" s="1"/>
  <c r="E26" i="4"/>
  <c r="E27" i="3"/>
  <c r="I26" i="3"/>
  <c r="H26" i="3" s="1"/>
  <c r="I32" i="12"/>
  <c r="E33" i="12"/>
  <c r="E25" i="1"/>
  <c r="I25" i="1" s="1"/>
  <c r="X20" i="2"/>
  <c r="Y19" i="2"/>
  <c r="E49" i="2"/>
  <c r="I48" i="2"/>
  <c r="H39" i="2"/>
  <c r="I23" i="11" l="1"/>
  <c r="H23" i="11" s="1"/>
  <c r="E24" i="11"/>
  <c r="E21" i="10"/>
  <c r="I20" i="10"/>
  <c r="H20" i="10" s="1"/>
  <c r="I22" i="9"/>
  <c r="H22" i="9" s="1"/>
  <c r="E23" i="9"/>
  <c r="E22" i="8"/>
  <c r="I21" i="8"/>
  <c r="H21" i="8" s="1"/>
  <c r="E22" i="6"/>
  <c r="I21" i="6"/>
  <c r="H21" i="6" s="1"/>
  <c r="I20" i="5"/>
  <c r="H20" i="5" s="1"/>
  <c r="E21" i="5"/>
  <c r="I21" i="5" s="1"/>
  <c r="I26" i="4"/>
  <c r="H26" i="4" s="1"/>
  <c r="E27" i="4"/>
  <c r="I27" i="3"/>
  <c r="H27" i="3" s="1"/>
  <c r="E28" i="3"/>
  <c r="E34" i="12"/>
  <c r="I33" i="12"/>
  <c r="E26" i="1"/>
  <c r="X21" i="2"/>
  <c r="Y20" i="2"/>
  <c r="E50" i="2"/>
  <c r="I49" i="2"/>
  <c r="H40" i="2"/>
  <c r="I24" i="11" l="1"/>
  <c r="H24" i="11" s="1"/>
  <c r="E25" i="11"/>
  <c r="I21" i="10"/>
  <c r="H21" i="10" s="1"/>
  <c r="E22" i="10"/>
  <c r="E24" i="9"/>
  <c r="I23" i="9"/>
  <c r="H23" i="9" s="1"/>
  <c r="E23" i="8"/>
  <c r="I22" i="8"/>
  <c r="H22" i="8" s="1"/>
  <c r="E23" i="6"/>
  <c r="I22" i="6"/>
  <c r="H22" i="6" s="1"/>
  <c r="H21" i="5"/>
  <c r="E22" i="5"/>
  <c r="I22" i="5" s="1"/>
  <c r="H22" i="5" s="1"/>
  <c r="I27" i="4"/>
  <c r="H27" i="4" s="1"/>
  <c r="E28" i="4"/>
  <c r="E29" i="3"/>
  <c r="I28" i="3"/>
  <c r="H28" i="3" s="1"/>
  <c r="I34" i="12"/>
  <c r="E35" i="12"/>
  <c r="E27" i="1"/>
  <c r="X22" i="2"/>
  <c r="Y21" i="2"/>
  <c r="E51" i="2"/>
  <c r="I50" i="2"/>
  <c r="H41" i="2"/>
  <c r="E26" i="11" l="1"/>
  <c r="I25" i="11"/>
  <c r="H25" i="11" s="1"/>
  <c r="E23" i="10"/>
  <c r="I22" i="10"/>
  <c r="H22" i="10" s="1"/>
  <c r="I24" i="9"/>
  <c r="H24" i="9" s="1"/>
  <c r="E25" i="9"/>
  <c r="E24" i="8"/>
  <c r="I23" i="8"/>
  <c r="H23" i="8" s="1"/>
  <c r="I23" i="6"/>
  <c r="H23" i="6" s="1"/>
  <c r="E24" i="6"/>
  <c r="E23" i="5"/>
  <c r="I23" i="5" s="1"/>
  <c r="H23" i="5" s="1"/>
  <c r="I28" i="4"/>
  <c r="H28" i="4" s="1"/>
  <c r="E29" i="4"/>
  <c r="E30" i="3"/>
  <c r="I29" i="3"/>
  <c r="H29" i="3" s="1"/>
  <c r="E36" i="12"/>
  <c r="I35" i="12"/>
  <c r="E28" i="1"/>
  <c r="I28" i="1" s="1"/>
  <c r="X23" i="2"/>
  <c r="Y22" i="2"/>
  <c r="E52" i="2"/>
  <c r="I51" i="2"/>
  <c r="H42" i="2"/>
  <c r="I26" i="11" l="1"/>
  <c r="H26" i="11" s="1"/>
  <c r="E27" i="11"/>
  <c r="E24" i="10"/>
  <c r="I23" i="10"/>
  <c r="H23" i="10" s="1"/>
  <c r="I25" i="9"/>
  <c r="H25" i="9" s="1"/>
  <c r="E26" i="9"/>
  <c r="E25" i="8"/>
  <c r="I24" i="8"/>
  <c r="H24" i="8" s="1"/>
  <c r="E25" i="6"/>
  <c r="I24" i="6"/>
  <c r="H24" i="6" s="1"/>
  <c r="E24" i="5"/>
  <c r="I24" i="5" s="1"/>
  <c r="H24" i="5" s="1"/>
  <c r="I29" i="4"/>
  <c r="H29" i="4" s="1"/>
  <c r="E30" i="4"/>
  <c r="I30" i="3"/>
  <c r="H30" i="3" s="1"/>
  <c r="E31" i="3"/>
  <c r="E37" i="12"/>
  <c r="I36" i="12"/>
  <c r="E29" i="1"/>
  <c r="I29" i="1" s="1"/>
  <c r="X24" i="2"/>
  <c r="Y23" i="2"/>
  <c r="I52" i="2"/>
  <c r="H43" i="2"/>
  <c r="I27" i="11" l="1"/>
  <c r="H27" i="11" s="1"/>
  <c r="E28" i="11"/>
  <c r="E25" i="10"/>
  <c r="I24" i="10"/>
  <c r="H24" i="10" s="1"/>
  <c r="I26" i="9"/>
  <c r="H26" i="9" s="1"/>
  <c r="E27" i="9"/>
  <c r="E26" i="8"/>
  <c r="I25" i="8"/>
  <c r="H25" i="8" s="1"/>
  <c r="I25" i="6"/>
  <c r="H25" i="6" s="1"/>
  <c r="E26" i="6"/>
  <c r="E25" i="5"/>
  <c r="I25" i="5" s="1"/>
  <c r="H25" i="5" s="1"/>
  <c r="I30" i="4"/>
  <c r="H30" i="4" s="1"/>
  <c r="E31" i="4"/>
  <c r="I31" i="3"/>
  <c r="H31" i="3" s="1"/>
  <c r="E32" i="3"/>
  <c r="E38" i="12"/>
  <c r="I37" i="12"/>
  <c r="E30" i="1"/>
  <c r="I30" i="1" s="1"/>
  <c r="X25" i="2"/>
  <c r="Y24" i="2"/>
  <c r="H44" i="2"/>
  <c r="E29" i="11" l="1"/>
  <c r="I28" i="11"/>
  <c r="H28" i="11" s="1"/>
  <c r="E26" i="10"/>
  <c r="I25" i="10"/>
  <c r="H25" i="10" s="1"/>
  <c r="I27" i="9"/>
  <c r="H27" i="9" s="1"/>
  <c r="E28" i="9"/>
  <c r="E27" i="8"/>
  <c r="I26" i="8"/>
  <c r="H26" i="8" s="1"/>
  <c r="E27" i="6"/>
  <c r="I26" i="6"/>
  <c r="H26" i="6" s="1"/>
  <c r="E26" i="5"/>
  <c r="I26" i="5" s="1"/>
  <c r="H26" i="5" s="1"/>
  <c r="I31" i="4"/>
  <c r="H31" i="4" s="1"/>
  <c r="E32" i="4"/>
  <c r="E33" i="3"/>
  <c r="I32" i="3"/>
  <c r="H32" i="3" s="1"/>
  <c r="E39" i="12"/>
  <c r="I38" i="12"/>
  <c r="E31" i="1"/>
  <c r="I31" i="1" s="1"/>
  <c r="Y25" i="2"/>
  <c r="X26" i="2"/>
  <c r="H45" i="2"/>
  <c r="I29" i="11" l="1"/>
  <c r="H29" i="11" s="1"/>
  <c r="E30" i="11"/>
  <c r="I26" i="10"/>
  <c r="H26" i="10" s="1"/>
  <c r="E27" i="10"/>
  <c r="E29" i="9"/>
  <c r="I28" i="9"/>
  <c r="H28" i="9" s="1"/>
  <c r="E28" i="8"/>
  <c r="I27" i="8"/>
  <c r="H27" i="8" s="1"/>
  <c r="E28" i="6"/>
  <c r="I27" i="6"/>
  <c r="H27" i="6" s="1"/>
  <c r="E27" i="5"/>
  <c r="I27" i="5" s="1"/>
  <c r="H27" i="5" s="1"/>
  <c r="I32" i="4"/>
  <c r="H32" i="4" s="1"/>
  <c r="E33" i="4"/>
  <c r="E34" i="3"/>
  <c r="I33" i="3"/>
  <c r="H33" i="3" s="1"/>
  <c r="I39" i="12"/>
  <c r="E40" i="12"/>
  <c r="E32" i="1"/>
  <c r="I32" i="1" s="1"/>
  <c r="X27" i="2"/>
  <c r="Y26" i="2"/>
  <c r="H46" i="2"/>
  <c r="E31" i="11" l="1"/>
  <c r="I30" i="11"/>
  <c r="H30" i="11" s="1"/>
  <c r="E28" i="10"/>
  <c r="I27" i="10"/>
  <c r="H27" i="10" s="1"/>
  <c r="E30" i="9"/>
  <c r="I29" i="9"/>
  <c r="H29" i="9" s="1"/>
  <c r="E29" i="8"/>
  <c r="I28" i="8"/>
  <c r="H28" i="8" s="1"/>
  <c r="I28" i="6"/>
  <c r="H28" i="6" s="1"/>
  <c r="E29" i="6"/>
  <c r="E28" i="5"/>
  <c r="I28" i="5" s="1"/>
  <c r="H28" i="5" s="1"/>
  <c r="I33" i="4"/>
  <c r="H33" i="4" s="1"/>
  <c r="E34" i="4"/>
  <c r="I34" i="3"/>
  <c r="H34" i="3" s="1"/>
  <c r="E35" i="3"/>
  <c r="E41" i="12"/>
  <c r="I40" i="12"/>
  <c r="E33" i="1"/>
  <c r="I33" i="1" s="1"/>
  <c r="X28" i="2"/>
  <c r="Y27" i="2"/>
  <c r="H47" i="2"/>
  <c r="I31" i="11" l="1"/>
  <c r="H31" i="11" s="1"/>
  <c r="E32" i="11"/>
  <c r="E29" i="10"/>
  <c r="I28" i="10"/>
  <c r="H28" i="10" s="1"/>
  <c r="I30" i="9"/>
  <c r="H30" i="9" s="1"/>
  <c r="E31" i="9"/>
  <c r="E30" i="8"/>
  <c r="I29" i="8"/>
  <c r="H29" i="8" s="1"/>
  <c r="E30" i="6"/>
  <c r="I29" i="6"/>
  <c r="H29" i="6" s="1"/>
  <c r="E29" i="5"/>
  <c r="I29" i="5" s="1"/>
  <c r="H29" i="5" s="1"/>
  <c r="I34" i="4"/>
  <c r="H34" i="4" s="1"/>
  <c r="E35" i="4"/>
  <c r="I35" i="3"/>
  <c r="H35" i="3" s="1"/>
  <c r="E36" i="3"/>
  <c r="E42" i="12"/>
  <c r="I41" i="12"/>
  <c r="E34" i="1"/>
  <c r="I34" i="1" s="1"/>
  <c r="X29" i="2"/>
  <c r="Y28" i="2"/>
  <c r="H48" i="2"/>
  <c r="I32" i="11" l="1"/>
  <c r="H32" i="11" s="1"/>
  <c r="E33" i="11"/>
  <c r="I29" i="10"/>
  <c r="H29" i="10" s="1"/>
  <c r="E30" i="10"/>
  <c r="E32" i="9"/>
  <c r="I31" i="9"/>
  <c r="H31" i="9" s="1"/>
  <c r="E31" i="8"/>
  <c r="I30" i="8"/>
  <c r="H30" i="8" s="1"/>
  <c r="I30" i="6"/>
  <c r="H30" i="6" s="1"/>
  <c r="E31" i="6"/>
  <c r="E30" i="5"/>
  <c r="I30" i="5" s="1"/>
  <c r="H30" i="5" s="1"/>
  <c r="I35" i="4"/>
  <c r="H35" i="4" s="1"/>
  <c r="E36" i="4"/>
  <c r="E37" i="3"/>
  <c r="I36" i="3"/>
  <c r="H36" i="3" s="1"/>
  <c r="I42" i="12"/>
  <c r="E43" i="12"/>
  <c r="E35" i="1"/>
  <c r="I35" i="1" s="1"/>
  <c r="X30" i="2"/>
  <c r="Y29" i="2"/>
  <c r="H49" i="2"/>
  <c r="E34" i="11" l="1"/>
  <c r="I33" i="11"/>
  <c r="H33" i="11" s="1"/>
  <c r="E31" i="10"/>
  <c r="I30" i="10"/>
  <c r="H30" i="10" s="1"/>
  <c r="E33" i="9"/>
  <c r="I32" i="9"/>
  <c r="H32" i="9" s="1"/>
  <c r="E32" i="8"/>
  <c r="I31" i="8"/>
  <c r="H31" i="8" s="1"/>
  <c r="I31" i="6"/>
  <c r="H31" i="6" s="1"/>
  <c r="E32" i="6"/>
  <c r="E31" i="5"/>
  <c r="I31" i="5" s="1"/>
  <c r="H31" i="5" s="1"/>
  <c r="I36" i="4"/>
  <c r="H36" i="4" s="1"/>
  <c r="E37" i="4"/>
  <c r="E38" i="3"/>
  <c r="I37" i="3"/>
  <c r="H37" i="3" s="1"/>
  <c r="E44" i="12"/>
  <c r="I43" i="12"/>
  <c r="E36" i="1"/>
  <c r="I36" i="1" s="1"/>
  <c r="X31" i="2"/>
  <c r="Y30" i="2"/>
  <c r="H50" i="2"/>
  <c r="I34" i="11" l="1"/>
  <c r="H34" i="11" s="1"/>
  <c r="E35" i="11"/>
  <c r="E32" i="10"/>
  <c r="I31" i="10"/>
  <c r="H31" i="10" s="1"/>
  <c r="I33" i="9"/>
  <c r="H33" i="9" s="1"/>
  <c r="E34" i="9"/>
  <c r="E33" i="8"/>
  <c r="I32" i="8"/>
  <c r="H32" i="8" s="1"/>
  <c r="E33" i="6"/>
  <c r="I32" i="6"/>
  <c r="H32" i="6" s="1"/>
  <c r="E32" i="5"/>
  <c r="I32" i="5" s="1"/>
  <c r="H32" i="5" s="1"/>
  <c r="I37" i="4"/>
  <c r="H37" i="4" s="1"/>
  <c r="E38" i="4"/>
  <c r="E39" i="3"/>
  <c r="I38" i="3"/>
  <c r="H38" i="3" s="1"/>
  <c r="E45" i="12"/>
  <c r="I44" i="12"/>
  <c r="E37" i="1"/>
  <c r="I37" i="1" s="1"/>
  <c r="X32" i="2"/>
  <c r="Y31" i="2"/>
  <c r="H51" i="2"/>
  <c r="I35" i="11" l="1"/>
  <c r="H35" i="11" s="1"/>
  <c r="E36" i="11"/>
  <c r="E33" i="10"/>
  <c r="I32" i="10"/>
  <c r="H32" i="10" s="1"/>
  <c r="E35" i="9"/>
  <c r="I34" i="9"/>
  <c r="H34" i="9" s="1"/>
  <c r="E34" i="8"/>
  <c r="I33" i="8"/>
  <c r="H33" i="8" s="1"/>
  <c r="E34" i="6"/>
  <c r="I33" i="6"/>
  <c r="H33" i="6" s="1"/>
  <c r="E33" i="5"/>
  <c r="I33" i="5" s="1"/>
  <c r="H33" i="5" s="1"/>
  <c r="I38" i="4"/>
  <c r="H38" i="4" s="1"/>
  <c r="E39" i="4"/>
  <c r="E40" i="3"/>
  <c r="I39" i="3"/>
  <c r="H39" i="3" s="1"/>
  <c r="E46" i="12"/>
  <c r="I45" i="12"/>
  <c r="E38" i="1"/>
  <c r="I38" i="1" s="1"/>
  <c r="X33" i="2"/>
  <c r="Y32" i="2"/>
  <c r="E37" i="11" l="1"/>
  <c r="I36" i="11"/>
  <c r="H36" i="11" s="1"/>
  <c r="E34" i="10"/>
  <c r="I33" i="10"/>
  <c r="H33" i="10" s="1"/>
  <c r="E36" i="9"/>
  <c r="I35" i="9"/>
  <c r="H35" i="9" s="1"/>
  <c r="E35" i="8"/>
  <c r="I34" i="8"/>
  <c r="H34" i="8" s="1"/>
  <c r="I34" i="6"/>
  <c r="H34" i="6" s="1"/>
  <c r="E35" i="6"/>
  <c r="E34" i="5"/>
  <c r="I34" i="5" s="1"/>
  <c r="H34" i="5" s="1"/>
  <c r="I39" i="4"/>
  <c r="H39" i="4" s="1"/>
  <c r="E40" i="4"/>
  <c r="E41" i="3"/>
  <c r="I40" i="3"/>
  <c r="H40" i="3" s="1"/>
  <c r="I46" i="12"/>
  <c r="E47" i="12"/>
  <c r="E39" i="1"/>
  <c r="I39" i="1" s="1"/>
  <c r="X34" i="2"/>
  <c r="Y33" i="2"/>
  <c r="I37" i="11" l="1"/>
  <c r="H37" i="11" s="1"/>
  <c r="E38" i="11"/>
  <c r="I34" i="10"/>
  <c r="H34" i="10" s="1"/>
  <c r="E35" i="10"/>
  <c r="E37" i="9"/>
  <c r="I36" i="9"/>
  <c r="H36" i="9" s="1"/>
  <c r="E36" i="8"/>
  <c r="I35" i="8"/>
  <c r="H35" i="8" s="1"/>
  <c r="E36" i="6"/>
  <c r="I35" i="6"/>
  <c r="H35" i="6" s="1"/>
  <c r="E35" i="5"/>
  <c r="I35" i="5" s="1"/>
  <c r="H35" i="5" s="1"/>
  <c r="I40" i="4"/>
  <c r="H40" i="4" s="1"/>
  <c r="E41" i="4"/>
  <c r="E42" i="3"/>
  <c r="I41" i="3"/>
  <c r="H41" i="3" s="1"/>
  <c r="E48" i="12"/>
  <c r="I47" i="12"/>
  <c r="E40" i="1"/>
  <c r="I40" i="1" s="1"/>
  <c r="X35" i="2"/>
  <c r="Y34" i="2"/>
  <c r="E39" i="11" l="1"/>
  <c r="I38" i="11"/>
  <c r="H38" i="11" s="1"/>
  <c r="E36" i="10"/>
  <c r="I35" i="10"/>
  <c r="H35" i="10" s="1"/>
  <c r="E38" i="9"/>
  <c r="I37" i="9"/>
  <c r="H37" i="9" s="1"/>
  <c r="E37" i="8"/>
  <c r="I36" i="8"/>
  <c r="H36" i="8" s="1"/>
  <c r="I36" i="6"/>
  <c r="H36" i="6" s="1"/>
  <c r="E37" i="6"/>
  <c r="E36" i="5"/>
  <c r="I36" i="5" s="1"/>
  <c r="H36" i="5" s="1"/>
  <c r="I41" i="4"/>
  <c r="H41" i="4" s="1"/>
  <c r="E42" i="4"/>
  <c r="I42" i="3"/>
  <c r="H42" i="3" s="1"/>
  <c r="E43" i="3"/>
  <c r="I48" i="12"/>
  <c r="E49" i="12"/>
  <c r="E41" i="1"/>
  <c r="I41" i="1" s="1"/>
  <c r="X36" i="2"/>
  <c r="Y35" i="2"/>
  <c r="E40" i="11" l="1"/>
  <c r="I39" i="11"/>
  <c r="H39" i="11" s="1"/>
  <c r="E37" i="10"/>
  <c r="I36" i="10"/>
  <c r="H36" i="10" s="1"/>
  <c r="I38" i="9"/>
  <c r="H38" i="9" s="1"/>
  <c r="E39" i="9"/>
  <c r="E38" i="8"/>
  <c r="I37" i="8"/>
  <c r="H37" i="8" s="1"/>
  <c r="E38" i="6"/>
  <c r="I37" i="6"/>
  <c r="H37" i="6" s="1"/>
  <c r="E37" i="5"/>
  <c r="I37" i="5" s="1"/>
  <c r="H37" i="5" s="1"/>
  <c r="I42" i="4"/>
  <c r="H42" i="4" s="1"/>
  <c r="E43" i="4"/>
  <c r="I43" i="3"/>
  <c r="H43" i="3" s="1"/>
  <c r="E44" i="3"/>
  <c r="E50" i="12"/>
  <c r="I49" i="12"/>
  <c r="E42" i="1"/>
  <c r="I42" i="1" s="1"/>
  <c r="X37" i="2"/>
  <c r="Y36" i="2"/>
  <c r="I40" i="11" l="1"/>
  <c r="H40" i="11" s="1"/>
  <c r="E41" i="11"/>
  <c r="I37" i="10"/>
  <c r="H37" i="10" s="1"/>
  <c r="E38" i="10"/>
  <c r="E40" i="9"/>
  <c r="I39" i="9"/>
  <c r="H39" i="9" s="1"/>
  <c r="E39" i="8"/>
  <c r="I38" i="8"/>
  <c r="H38" i="8" s="1"/>
  <c r="E39" i="6"/>
  <c r="I38" i="6"/>
  <c r="H38" i="6" s="1"/>
  <c r="E38" i="5"/>
  <c r="I38" i="5" s="1"/>
  <c r="H38" i="5" s="1"/>
  <c r="I43" i="4"/>
  <c r="H43" i="4" s="1"/>
  <c r="E44" i="4"/>
  <c r="E45" i="3"/>
  <c r="I44" i="3"/>
  <c r="H44" i="3" s="1"/>
  <c r="I50" i="12"/>
  <c r="E51" i="12"/>
  <c r="E43" i="1"/>
  <c r="I43" i="1" s="1"/>
  <c r="X38" i="2"/>
  <c r="Y37" i="2"/>
  <c r="E42" i="11" l="1"/>
  <c r="I41" i="11"/>
  <c r="H41" i="11" s="1"/>
  <c r="E39" i="10"/>
  <c r="I38" i="10"/>
  <c r="H38" i="10" s="1"/>
  <c r="I40" i="9"/>
  <c r="H40" i="9" s="1"/>
  <c r="E41" i="9"/>
  <c r="E40" i="8"/>
  <c r="I39" i="8"/>
  <c r="H39" i="8" s="1"/>
  <c r="I39" i="6"/>
  <c r="H39" i="6" s="1"/>
  <c r="E40" i="6"/>
  <c r="E39" i="5"/>
  <c r="I39" i="5" s="1"/>
  <c r="H39" i="5" s="1"/>
  <c r="I44" i="4"/>
  <c r="H44" i="4" s="1"/>
  <c r="E45" i="4"/>
  <c r="I45" i="3"/>
  <c r="H45" i="3" s="1"/>
  <c r="E46" i="3"/>
  <c r="I51" i="12"/>
  <c r="E52" i="12"/>
  <c r="E53" i="12" s="1"/>
  <c r="E44" i="1"/>
  <c r="I44" i="1" s="1"/>
  <c r="X39" i="2"/>
  <c r="Y38" i="2"/>
  <c r="I42" i="11" l="1"/>
  <c r="H42" i="11" s="1"/>
  <c r="E43" i="11"/>
  <c r="E40" i="10"/>
  <c r="I39" i="10"/>
  <c r="H39" i="10" s="1"/>
  <c r="I41" i="9"/>
  <c r="H41" i="9" s="1"/>
  <c r="E42" i="9"/>
  <c r="E41" i="8"/>
  <c r="I40" i="8"/>
  <c r="H40" i="8" s="1"/>
  <c r="E41" i="6"/>
  <c r="I40" i="6"/>
  <c r="H40" i="6" s="1"/>
  <c r="E40" i="5"/>
  <c r="I45" i="4"/>
  <c r="H45" i="4" s="1"/>
  <c r="E46" i="4"/>
  <c r="E47" i="3"/>
  <c r="I46" i="3"/>
  <c r="H46" i="3" s="1"/>
  <c r="E45" i="1"/>
  <c r="I45" i="1" s="1"/>
  <c r="X40" i="2"/>
  <c r="Y39" i="2"/>
  <c r="I43" i="11" l="1"/>
  <c r="H43" i="11" s="1"/>
  <c r="E44" i="11"/>
  <c r="I40" i="10"/>
  <c r="H40" i="10" s="1"/>
  <c r="E41" i="10"/>
  <c r="E43" i="9"/>
  <c r="I42" i="9"/>
  <c r="H42" i="9" s="1"/>
  <c r="E42" i="8"/>
  <c r="I41" i="8"/>
  <c r="H41" i="8" s="1"/>
  <c r="I41" i="6"/>
  <c r="H41" i="6" s="1"/>
  <c r="E42" i="6"/>
  <c r="I40" i="5"/>
  <c r="H40" i="5" s="1"/>
  <c r="E41" i="5"/>
  <c r="I46" i="4"/>
  <c r="H46" i="4" s="1"/>
  <c r="E47" i="4"/>
  <c r="I47" i="3"/>
  <c r="H47" i="3" s="1"/>
  <c r="E48" i="3"/>
  <c r="E46" i="1"/>
  <c r="I46" i="1" s="1"/>
  <c r="Y40" i="2"/>
  <c r="X41" i="2"/>
  <c r="E45" i="11" l="1"/>
  <c r="I44" i="11"/>
  <c r="H44" i="11" s="1"/>
  <c r="E42" i="10"/>
  <c r="I41" i="10"/>
  <c r="H41" i="10" s="1"/>
  <c r="E44" i="9"/>
  <c r="I43" i="9"/>
  <c r="H43" i="9" s="1"/>
  <c r="E43" i="8"/>
  <c r="I42" i="8"/>
  <c r="H42" i="8" s="1"/>
  <c r="I42" i="6"/>
  <c r="H42" i="6" s="1"/>
  <c r="E43" i="6"/>
  <c r="I41" i="5"/>
  <c r="H41" i="5" s="1"/>
  <c r="E42" i="5"/>
  <c r="I42" i="5" s="1"/>
  <c r="H42" i="5" s="1"/>
  <c r="I47" i="4"/>
  <c r="H47" i="4" s="1"/>
  <c r="E48" i="4"/>
  <c r="I48" i="3"/>
  <c r="H48" i="3" s="1"/>
  <c r="E49" i="3"/>
  <c r="E47" i="1"/>
  <c r="I47" i="1" s="1"/>
  <c r="Y41" i="2"/>
  <c r="X42" i="2"/>
  <c r="I45" i="11" l="1"/>
  <c r="H45" i="11" s="1"/>
  <c r="E46" i="11"/>
  <c r="I42" i="10"/>
  <c r="H42" i="10" s="1"/>
  <c r="E43" i="10"/>
  <c r="E45" i="9"/>
  <c r="I44" i="9"/>
  <c r="H44" i="9" s="1"/>
  <c r="E44" i="8"/>
  <c r="I43" i="8"/>
  <c r="H43" i="8" s="1"/>
  <c r="E44" i="6"/>
  <c r="I43" i="6"/>
  <c r="H43" i="6" s="1"/>
  <c r="E43" i="5"/>
  <c r="I48" i="4"/>
  <c r="H48" i="4" s="1"/>
  <c r="E49" i="4"/>
  <c r="E50" i="3"/>
  <c r="I49" i="3"/>
  <c r="H49" i="3" s="1"/>
  <c r="E48" i="1"/>
  <c r="I48" i="1" s="1"/>
  <c r="Y42" i="2"/>
  <c r="X43" i="2"/>
  <c r="E47" i="11" l="1"/>
  <c r="I46" i="11"/>
  <c r="H46" i="11" s="1"/>
  <c r="E44" i="10"/>
  <c r="I43" i="10"/>
  <c r="H43" i="10" s="1"/>
  <c r="E46" i="9"/>
  <c r="I45" i="9"/>
  <c r="H45" i="9" s="1"/>
  <c r="E45" i="8"/>
  <c r="I44" i="8"/>
  <c r="H44" i="8" s="1"/>
  <c r="I44" i="6"/>
  <c r="H44" i="6" s="1"/>
  <c r="E45" i="6"/>
  <c r="I43" i="5"/>
  <c r="H43" i="5" s="1"/>
  <c r="E44" i="5"/>
  <c r="I44" i="5" s="1"/>
  <c r="I49" i="4"/>
  <c r="H49" i="4" s="1"/>
  <c r="E50" i="4"/>
  <c r="E51" i="3"/>
  <c r="I50" i="3"/>
  <c r="H50" i="3" s="1"/>
  <c r="E49" i="1"/>
  <c r="I49" i="1" s="1"/>
  <c r="X44" i="2"/>
  <c r="Y43" i="2"/>
  <c r="E48" i="11" l="1"/>
  <c r="I47" i="11"/>
  <c r="H47" i="11" s="1"/>
  <c r="E45" i="10"/>
  <c r="I44" i="10"/>
  <c r="H44" i="10" s="1"/>
  <c r="I46" i="9"/>
  <c r="H46" i="9" s="1"/>
  <c r="E47" i="9"/>
  <c r="E46" i="8"/>
  <c r="I45" i="8"/>
  <c r="H45" i="8" s="1"/>
  <c r="E46" i="6"/>
  <c r="I45" i="6"/>
  <c r="H45" i="6" s="1"/>
  <c r="H44" i="5"/>
  <c r="E45" i="5"/>
  <c r="I45" i="5" s="1"/>
  <c r="I50" i="4"/>
  <c r="H50" i="4" s="1"/>
  <c r="E51" i="4"/>
  <c r="I51" i="3"/>
  <c r="H51" i="3" s="1"/>
  <c r="E52" i="3"/>
  <c r="E50" i="1"/>
  <c r="I50" i="1" s="1"/>
  <c r="X45" i="2"/>
  <c r="Y44" i="2"/>
  <c r="I48" i="11" l="1"/>
  <c r="H48" i="11" s="1"/>
  <c r="E49" i="11"/>
  <c r="I45" i="10"/>
  <c r="H45" i="10" s="1"/>
  <c r="E46" i="10"/>
  <c r="E48" i="9"/>
  <c r="I47" i="9"/>
  <c r="H47" i="9" s="1"/>
  <c r="E47" i="8"/>
  <c r="I46" i="8"/>
  <c r="H46" i="8" s="1"/>
  <c r="E47" i="6"/>
  <c r="I46" i="6"/>
  <c r="H46" i="6" s="1"/>
  <c r="H45" i="5"/>
  <c r="E46" i="5"/>
  <c r="I46" i="5" s="1"/>
  <c r="I51" i="4"/>
  <c r="H51" i="4" s="1"/>
  <c r="E52" i="4"/>
  <c r="E53" i="3"/>
  <c r="I53" i="3" s="1"/>
  <c r="I52" i="3"/>
  <c r="H52" i="3" s="1"/>
  <c r="E51" i="1"/>
  <c r="I51" i="1" s="1"/>
  <c r="X46" i="2"/>
  <c r="Y45" i="2"/>
  <c r="E50" i="11" l="1"/>
  <c r="I49" i="11"/>
  <c r="H49" i="11" s="1"/>
  <c r="E47" i="10"/>
  <c r="I46" i="10"/>
  <c r="H46" i="10" s="1"/>
  <c r="E49" i="9"/>
  <c r="I48" i="9"/>
  <c r="H48" i="9" s="1"/>
  <c r="E48" i="8"/>
  <c r="I47" i="8"/>
  <c r="H47" i="8" s="1"/>
  <c r="I47" i="6"/>
  <c r="H47" i="6" s="1"/>
  <c r="E48" i="6"/>
  <c r="H46" i="5"/>
  <c r="E47" i="5"/>
  <c r="I52" i="4"/>
  <c r="H52" i="4" s="1"/>
  <c r="E53" i="4"/>
  <c r="I53" i="4" s="1"/>
  <c r="H53" i="4" s="1"/>
  <c r="H53" i="3"/>
  <c r="E52" i="1"/>
  <c r="X47" i="2"/>
  <c r="Y46" i="2"/>
  <c r="I50" i="11" l="1"/>
  <c r="H50" i="11" s="1"/>
  <c r="E51" i="11"/>
  <c r="E48" i="10"/>
  <c r="I47" i="10"/>
  <c r="H47" i="10" s="1"/>
  <c r="I49" i="9"/>
  <c r="H49" i="9" s="1"/>
  <c r="E50" i="9"/>
  <c r="E49" i="8"/>
  <c r="I48" i="8"/>
  <c r="H48" i="8" s="1"/>
  <c r="E49" i="6"/>
  <c r="I48" i="6"/>
  <c r="H48" i="6" s="1"/>
  <c r="I47" i="5"/>
  <c r="H47" i="5" s="1"/>
  <c r="E48" i="5"/>
  <c r="E53" i="1"/>
  <c r="X48" i="2"/>
  <c r="Y47" i="2"/>
  <c r="I51" i="11" l="1"/>
  <c r="H51" i="11" s="1"/>
  <c r="E52" i="11"/>
  <c r="I48" i="10"/>
  <c r="H48" i="10" s="1"/>
  <c r="E49" i="10"/>
  <c r="E51" i="9"/>
  <c r="I50" i="9"/>
  <c r="H50" i="9" s="1"/>
  <c r="E50" i="8"/>
  <c r="I49" i="8"/>
  <c r="H49" i="8" s="1"/>
  <c r="E50" i="6"/>
  <c r="I49" i="6"/>
  <c r="H49" i="6" s="1"/>
  <c r="I48" i="5"/>
  <c r="H48" i="5" s="1"/>
  <c r="E49" i="5"/>
  <c r="I49" i="5" s="1"/>
  <c r="X49" i="2"/>
  <c r="Y48" i="2"/>
  <c r="E53" i="11" l="1"/>
  <c r="I53" i="11" s="1"/>
  <c r="I52" i="11"/>
  <c r="H52" i="11" s="1"/>
  <c r="E50" i="10"/>
  <c r="I49" i="10"/>
  <c r="H49" i="10" s="1"/>
  <c r="I51" i="9"/>
  <c r="H51" i="9" s="1"/>
  <c r="E52" i="9"/>
  <c r="E51" i="8"/>
  <c r="I50" i="8"/>
  <c r="H50" i="8" s="1"/>
  <c r="E51" i="6"/>
  <c r="I50" i="6"/>
  <c r="H50" i="6" s="1"/>
  <c r="H49" i="5"/>
  <c r="E50" i="5"/>
  <c r="I50" i="5" s="1"/>
  <c r="X50" i="2"/>
  <c r="Y49" i="2"/>
  <c r="H53" i="11" l="1"/>
  <c r="I50" i="10"/>
  <c r="H50" i="10" s="1"/>
  <c r="E51" i="10"/>
  <c r="E53" i="9"/>
  <c r="I53" i="9" s="1"/>
  <c r="I52" i="9"/>
  <c r="H52" i="9" s="1"/>
  <c r="E52" i="8"/>
  <c r="I51" i="8"/>
  <c r="H51" i="8" s="1"/>
  <c r="I51" i="6"/>
  <c r="H51" i="6" s="1"/>
  <c r="E52" i="6"/>
  <c r="H50" i="5"/>
  <c r="E51" i="5"/>
  <c r="I51" i="5" s="1"/>
  <c r="X51" i="2"/>
  <c r="Y50" i="2"/>
  <c r="E52" i="10" l="1"/>
  <c r="I51" i="10"/>
  <c r="H51" i="10" s="1"/>
  <c r="H53" i="9"/>
  <c r="E53" i="8"/>
  <c r="I53" i="8" s="1"/>
  <c r="I52" i="8"/>
  <c r="H52" i="8" s="1"/>
  <c r="I52" i="6"/>
  <c r="H52" i="6" s="1"/>
  <c r="E53" i="6"/>
  <c r="I53" i="6" s="1"/>
  <c r="H53" i="6" s="1"/>
  <c r="H51" i="5"/>
  <c r="E52" i="5"/>
  <c r="I52" i="5" s="1"/>
  <c r="X52" i="2"/>
  <c r="Y51" i="2"/>
  <c r="E53" i="10" l="1"/>
  <c r="I53" i="10" s="1"/>
  <c r="I52" i="10"/>
  <c r="H52" i="10" s="1"/>
  <c r="H53" i="8"/>
  <c r="H52" i="5"/>
  <c r="E53" i="5"/>
  <c r="I53" i="5" s="1"/>
  <c r="X53" i="2"/>
  <c r="Y53" i="2" s="1"/>
  <c r="Y52" i="2"/>
  <c r="H6" i="4"/>
  <c r="H53" i="10" l="1"/>
  <c r="H53" i="5"/>
</calcChain>
</file>

<file path=xl/sharedStrings.xml><?xml version="1.0" encoding="utf-8"?>
<sst xmlns="http://schemas.openxmlformats.org/spreadsheetml/2006/main" count="1313" uniqueCount="153">
  <si>
    <t>အသက်</t>
  </si>
  <si>
    <t>ရက်စွဲ</t>
  </si>
  <si>
    <t>ကုမ္ပဏီ၀င်</t>
  </si>
  <si>
    <t>စပ်စာဝင်</t>
  </si>
  <si>
    <t>အစာပေါင်း</t>
  </si>
  <si>
    <t>ကုမ္ပဏီကျန်</t>
  </si>
  <si>
    <t>စပ်စာကျန်</t>
  </si>
  <si>
    <t>စုစုပေါင်းအစာစားနှုန်း</t>
  </si>
  <si>
    <t>အလေးချိန်</t>
  </si>
  <si>
    <t>အသေ</t>
  </si>
  <si>
    <t>စုစုပေါင်းအသေ</t>
  </si>
  <si>
    <t>နေ့စဉ်အစာစားနှုန်း</t>
  </si>
  <si>
    <t>အစာအမျိုးအစား</t>
  </si>
  <si>
    <t>အစာအမည်</t>
  </si>
  <si>
    <t>အရေအတွက်</t>
  </si>
  <si>
    <t>စျေးနှုန်း</t>
  </si>
  <si>
    <t>ကျသင့်ငွေ</t>
  </si>
  <si>
    <t>ရောင်းကောင်</t>
  </si>
  <si>
    <t>စုစုပေါင်းရောင်းကောင်</t>
  </si>
  <si>
    <t>စုစုပေါင်းအလေးချိန်</t>
  </si>
  <si>
    <t>21to30</t>
  </si>
  <si>
    <t>31to36</t>
  </si>
  <si>
    <t>37toend</t>
  </si>
  <si>
    <t>အပို/အလို</t>
  </si>
  <si>
    <t>FCR</t>
  </si>
  <si>
    <t>အသေရာခိုင်နှုန်း</t>
  </si>
  <si>
    <t>အရောင်းစာရင်းချုပ်</t>
  </si>
  <si>
    <t>အစာစာရင်းချုပ်</t>
  </si>
  <si>
    <t>ရက်သား</t>
  </si>
  <si>
    <t>ဆေးအမျိုးအစား</t>
  </si>
  <si>
    <t>အကြိမ်ရေ</t>
  </si>
  <si>
    <t>စုစုပေါင်း</t>
  </si>
  <si>
    <t>စျေးနှူန်း</t>
  </si>
  <si>
    <t>ဆေးစာရင်းချုပ်</t>
  </si>
  <si>
    <t>ဆံရှည်</t>
  </si>
  <si>
    <t>CP 2331</t>
  </si>
  <si>
    <t>30.6.25</t>
  </si>
  <si>
    <t>5:00PM</t>
  </si>
  <si>
    <t>အသေပေါင်း</t>
  </si>
  <si>
    <t xml:space="preserve"> စုစုပေါင်းရောင်းကောင် </t>
  </si>
  <si>
    <t>ကြက်အမျိုးအစား CP</t>
  </si>
  <si>
    <t>စာရင်းရှိ</t>
  </si>
  <si>
    <t xml:space="preserve"> အပို/အလို</t>
  </si>
  <si>
    <t>ကြက်သားအလေးချိန်စုစုပေါင်း</t>
  </si>
  <si>
    <t>ကြက်စာအလေးချိန်စုစုပေါင်း</t>
  </si>
  <si>
    <t>enrosol</t>
  </si>
  <si>
    <t>lhifostorim</t>
  </si>
  <si>
    <t>nutrimix</t>
  </si>
  <si>
    <t>အားဆေး</t>
  </si>
  <si>
    <t>1,2,3,4</t>
  </si>
  <si>
    <t>tylosol</t>
  </si>
  <si>
    <t>doxy</t>
  </si>
  <si>
    <t>5,6,7</t>
  </si>
  <si>
    <t>ထန်းညက်</t>
  </si>
  <si>
    <t>haparrenal</t>
  </si>
  <si>
    <t>8,9,10</t>
  </si>
  <si>
    <t xml:space="preserve"> သွေးဝမ်း</t>
  </si>
  <si>
    <t>11,12</t>
  </si>
  <si>
    <t xml:space="preserve"> liposol</t>
  </si>
  <si>
    <t>13,14,15</t>
  </si>
  <si>
    <t xml:space="preserve"> ထန်းညက်</t>
  </si>
  <si>
    <t>liposol</t>
  </si>
  <si>
    <t>IBD</t>
  </si>
  <si>
    <t>နှို့မှုန့်</t>
  </si>
  <si>
    <t xml:space="preserve"> 18,19,20</t>
  </si>
  <si>
    <t xml:space="preserve">   အားဆေး</t>
  </si>
  <si>
    <t>seleno hen</t>
  </si>
  <si>
    <t>glucose</t>
  </si>
  <si>
    <t>22,23,24</t>
  </si>
  <si>
    <t>CHB</t>
  </si>
  <si>
    <t>uacid</t>
  </si>
  <si>
    <t>26,27,28</t>
  </si>
  <si>
    <t>digestivo</t>
  </si>
  <si>
    <t>29,30,31</t>
  </si>
  <si>
    <t>35,36,37</t>
  </si>
  <si>
    <t>အကြီးကောင်</t>
  </si>
  <si>
    <t>CP 3277</t>
  </si>
  <si>
    <t>lhifostrim</t>
  </si>
  <si>
    <t>သွေးဝမ်း</t>
  </si>
  <si>
    <t>18,19,20</t>
  </si>
  <si>
    <t>seleno han</t>
  </si>
  <si>
    <t>226,27,28</t>
  </si>
  <si>
    <t>S.E</t>
  </si>
  <si>
    <t>8,9</t>
  </si>
  <si>
    <t>searup</t>
  </si>
  <si>
    <t>sealite</t>
  </si>
  <si>
    <t>20,21,22</t>
  </si>
  <si>
    <t>amoxillcin</t>
  </si>
  <si>
    <t>colistin</t>
  </si>
  <si>
    <t>31,32,33</t>
  </si>
  <si>
    <t>36,37,38</t>
  </si>
  <si>
    <t>15.7.25</t>
  </si>
  <si>
    <t>ဦးဘန်</t>
  </si>
  <si>
    <t>KBZ 2547</t>
  </si>
  <si>
    <t>2:30PM</t>
  </si>
  <si>
    <t>အောင်ကို</t>
  </si>
  <si>
    <t>happrenal</t>
  </si>
  <si>
    <t>ditrim</t>
  </si>
  <si>
    <t>neo</t>
  </si>
  <si>
    <t>23,24,25</t>
  </si>
  <si>
    <t>30,31,32</t>
  </si>
  <si>
    <t>ဇော်မင်းဦး</t>
  </si>
  <si>
    <t>KBZ 3667</t>
  </si>
  <si>
    <t>ကြက်အမျိုးအစားKBZ</t>
  </si>
  <si>
    <t xml:space="preserve">           </t>
  </si>
  <si>
    <t>1,2</t>
  </si>
  <si>
    <t>3,4</t>
  </si>
  <si>
    <t>15,16,17</t>
  </si>
  <si>
    <t>20,21</t>
  </si>
  <si>
    <t>vircon</t>
  </si>
  <si>
    <t>25,26</t>
  </si>
  <si>
    <t xml:space="preserve"> အားဆေး</t>
  </si>
  <si>
    <t>33,34</t>
  </si>
  <si>
    <t>တင်ဖြိုးအောင်</t>
  </si>
  <si>
    <t>KBZ 3669</t>
  </si>
  <si>
    <t>မီးသွေး</t>
  </si>
  <si>
    <t>KBZ 1833</t>
  </si>
  <si>
    <t>ကြက်အမျိုးအစား KBZ</t>
  </si>
  <si>
    <t>32,33,34</t>
  </si>
  <si>
    <t>4:00PM</t>
  </si>
  <si>
    <t>အဒယ်လယ်</t>
  </si>
  <si>
    <t>CP 4080</t>
  </si>
  <si>
    <t>အငယ်</t>
  </si>
  <si>
    <t>New hope 500</t>
  </si>
  <si>
    <t>CP 910sp</t>
  </si>
  <si>
    <t>CP 910</t>
  </si>
  <si>
    <t>CP 911</t>
  </si>
  <si>
    <t>New hope 510</t>
  </si>
  <si>
    <t>စပ်စာ</t>
  </si>
  <si>
    <t xml:space="preserve"> CP 910</t>
  </si>
  <si>
    <t>JAPA ss</t>
  </si>
  <si>
    <t>အလတ်</t>
  </si>
  <si>
    <t>SJ 912</t>
  </si>
  <si>
    <t>DIA super</t>
  </si>
  <si>
    <t>အကြီး</t>
  </si>
  <si>
    <t>New hope 511</t>
  </si>
  <si>
    <t>hyparrenal</t>
  </si>
  <si>
    <t>Amoxillicm</t>
  </si>
  <si>
    <t>ဦးကျွဲ</t>
  </si>
  <si>
    <t>CP 4073</t>
  </si>
  <si>
    <t>16,17,18</t>
  </si>
  <si>
    <t>24,25,26</t>
  </si>
  <si>
    <t>29,30</t>
  </si>
  <si>
    <t>34,35,36</t>
  </si>
  <si>
    <t>အောင်ထွန်းဝင်း</t>
  </si>
  <si>
    <t>KBZ 3770</t>
  </si>
  <si>
    <t>28,29,30</t>
  </si>
  <si>
    <t>Amoxillicin</t>
  </si>
  <si>
    <t>33,34,35</t>
  </si>
  <si>
    <t>37,38,39</t>
  </si>
  <si>
    <t>ကျော်လင်းဦး</t>
  </si>
  <si>
    <t>NEW HOPE 5574</t>
  </si>
  <si>
    <t>23,24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</si>
</sst>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7" formatCode="General\ &quot;g&quot;"/>
    <numFmt numFmtId="188" formatCode="General\ &quot;cc&quot;"/>
    <numFmt numFmtId="189" formatCode="General\ &quot;kg&quot;"/>
    <numFmt numFmtId="190" formatCode="[$-10000455]0"/>
    <numFmt numFmtId="191" formatCode="General\ "/>
  </numFmts>
  <fonts count="13" x14ac:knownFonts="1">
    <font>
      <sz val="11"/>
      <color theme="1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b/>
      <sz val="14"/>
      <color theme="1"/>
      <name val="Tahoma"/>
      <family val="2"/>
      <scheme val="minor"/>
    </font>
    <font>
      <sz val="11"/>
      <color rgb="FF9C5700"/>
      <name val="Tahoma"/>
      <family val="2"/>
      <scheme val="minor"/>
    </font>
    <font>
      <b/>
      <sz val="16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4"/>
      <color theme="1"/>
      <name val="Tahoma"/>
      <family val="2"/>
      <scheme val="minor"/>
    </font>
    <font>
      <sz val="18"/>
      <color theme="1"/>
      <name val="Tahoma"/>
      <family val="2"/>
      <scheme val="minor"/>
    </font>
    <font>
      <b/>
      <sz val="18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4" borderId="0" applyNumberFormat="0" applyBorder="0" applyAlignment="0" applyProtection="0"/>
    <xf numFmtId="0" fontId="11" fillId="5" borderId="10" applyNumberFormat="0" applyFont="0" applyAlignment="0" applyProtection="0"/>
  </cellStyleXfs>
  <cellXfs count="64">
    <xf numFmtId="0" fontId="0" fillId="0" borderId="0" xfId="0"/>
    <xf numFmtId="0" fontId="3" fillId="0" borderId="0" xfId="0" applyFont="1" applyAlignment="1">
      <alignment horizontal="center" vertical="center"/>
    </xf>
    <xf numFmtId="0" fontId="2" fillId="3" borderId="0" xfId="2" applyAlignment="1">
      <alignment horizontal="center" vertical="center"/>
    </xf>
    <xf numFmtId="0" fontId="1" fillId="2" borderId="0" xfId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4" borderId="0" xfId="3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187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88" fontId="3" fillId="0" borderId="1" xfId="0" applyNumberFormat="1" applyFont="1" applyBorder="1" applyAlignment="1">
      <alignment horizontal="center" vertical="center"/>
    </xf>
    <xf numFmtId="189" fontId="3" fillId="0" borderId="1" xfId="0" applyNumberFormat="1" applyFont="1" applyBorder="1" applyAlignment="1">
      <alignment horizontal="center" vertical="center"/>
    </xf>
    <xf numFmtId="190" fontId="3" fillId="0" borderId="1" xfId="0" applyNumberFormat="1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91" fontId="3" fillId="0" borderId="1" xfId="0" applyNumberFormat="1" applyFont="1" applyBorder="1" applyAlignment="1">
      <alignment horizontal="center" vertical="center"/>
    </xf>
    <xf numFmtId="189" fontId="3" fillId="0" borderId="2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89" fontId="4" fillId="4" borderId="2" xfId="3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hidden="1"/>
    </xf>
    <xf numFmtId="187" fontId="6" fillId="0" borderId="1" xfId="0" applyNumberFormat="1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3" fillId="5" borderId="1" xfId="4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88" fontId="3" fillId="0" borderId="0" xfId="0" applyNumberFormat="1" applyFont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89" fontId="3" fillId="0" borderId="1" xfId="0" applyNumberFormat="1" applyFont="1" applyBorder="1" applyAlignment="1">
      <alignment horizontal="center" vertical="center"/>
    </xf>
    <xf numFmtId="191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89" fontId="3" fillId="0" borderId="7" xfId="0" applyNumberFormat="1" applyFont="1" applyBorder="1" applyAlignment="1">
      <alignment horizontal="center" vertical="center"/>
    </xf>
    <xf numFmtId="189" fontId="3" fillId="0" borderId="9" xfId="0" applyNumberFormat="1" applyFont="1" applyBorder="1" applyAlignment="1">
      <alignment horizontal="center" vertical="center"/>
    </xf>
    <xf numFmtId="189" fontId="3" fillId="0" borderId="8" xfId="0" applyNumberFormat="1" applyFont="1" applyBorder="1" applyAlignment="1">
      <alignment horizontal="center" vertical="center"/>
    </xf>
    <xf numFmtId="191" fontId="3" fillId="0" borderId="7" xfId="0" applyNumberFormat="1" applyFont="1" applyBorder="1" applyAlignment="1">
      <alignment horizontal="center" vertical="center"/>
    </xf>
    <xf numFmtId="191" fontId="3" fillId="0" borderId="9" xfId="0" applyNumberFormat="1" applyFont="1" applyBorder="1" applyAlignment="1">
      <alignment horizontal="center" vertical="center"/>
    </xf>
    <xf numFmtId="191" fontId="3" fillId="0" borderId="8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</cellXfs>
  <cellStyles count="5">
    <cellStyle name="Bad" xfId="2" builtinId="27"/>
    <cellStyle name="Good" xfId="1" builtinId="26"/>
    <cellStyle name="Neutral" xfId="3" builtinId="28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037D-2C06-4796-BE22-756872A4F18D}">
  <sheetPr>
    <tabColor rgb="FFFFFF00"/>
  </sheetPr>
  <dimension ref="A1:BM64"/>
  <sheetViews>
    <sheetView topLeftCell="N1" zoomScale="89" zoomScaleNormal="89" workbookViewId="0">
      <pane ySplit="3" topLeftCell="A4" activePane="bottomLeft" state="frozen"/>
      <selection pane="bottomLeft" activeCell="N4" sqref="N4"/>
    </sheetView>
  </sheetViews>
  <sheetFormatPr defaultColWidth="12.125" defaultRowHeight="18" x14ac:dyDescent="0.2"/>
  <cols>
    <col min="1" max="1" width="12.125" style="1"/>
    <col min="2" max="2" width="16.75" style="1" customWidth="1"/>
    <col min="3" max="5" width="12.125" style="1"/>
    <col min="6" max="6" width="13.375" style="1" customWidth="1"/>
    <col min="7" max="7" width="11.25" style="1" bestFit="1" customWidth="1"/>
    <col min="8" max="9" width="21.875" style="1" bestFit="1" customWidth="1"/>
    <col min="10" max="10" width="12.5" style="1" customWidth="1"/>
    <col min="11" max="11" width="13.25" style="1" customWidth="1"/>
    <col min="12" max="12" width="16.125" style="1" bestFit="1" customWidth="1"/>
    <col min="13" max="13" width="7.625" style="3" customWidth="1"/>
    <col min="14" max="14" width="20.875" style="1" customWidth="1"/>
    <col min="15" max="15" width="19.5" style="1" customWidth="1"/>
    <col min="16" max="16" width="18.25" style="1" customWidth="1"/>
    <col min="17" max="17" width="17.625" style="1" customWidth="1"/>
    <col min="18" max="18" width="21.375" style="1" customWidth="1"/>
    <col min="19" max="19" width="8.5" style="2" customWidth="1"/>
    <col min="20" max="20" width="15.625" style="15" customWidth="1"/>
    <col min="21" max="21" width="14.75" style="1" customWidth="1"/>
    <col min="22" max="22" width="15.375" style="1" customWidth="1"/>
    <col min="23" max="23" width="23" style="1" customWidth="1"/>
    <col min="24" max="24" width="22.625" style="1" customWidth="1"/>
    <col min="25" max="25" width="13.75" style="1" customWidth="1"/>
    <col min="26" max="26" width="13.375" style="1" bestFit="1" customWidth="1"/>
    <col min="27" max="27" width="16.375" style="1" bestFit="1" customWidth="1"/>
    <col min="28" max="28" width="36.5" style="1" customWidth="1"/>
    <col min="29" max="29" width="11.875" style="1" bestFit="1" customWidth="1"/>
    <col min="30" max="30" width="12" style="1" customWidth="1"/>
    <col min="31" max="32" width="12.125" style="1"/>
    <col min="33" max="33" width="31.25" style="1" bestFit="1" customWidth="1"/>
    <col min="34" max="34" width="21.375" style="1" customWidth="1"/>
    <col min="35" max="35" width="29.625" style="1" bestFit="1" customWidth="1"/>
    <col min="36" max="37" width="12.125" style="1"/>
    <col min="38" max="38" width="10.375" style="7" customWidth="1"/>
    <col min="39" max="40" width="18.625" style="1" customWidth="1"/>
    <col min="41" max="41" width="19.125" style="1" customWidth="1"/>
    <col min="42" max="42" width="15.75" style="1" customWidth="1"/>
    <col min="43" max="43" width="16.5" style="1" customWidth="1"/>
    <col min="44" max="44" width="17.75" style="1" customWidth="1"/>
    <col min="45" max="45" width="17.375" style="1" customWidth="1"/>
    <col min="46" max="16384" width="12.125" style="1"/>
  </cols>
  <sheetData>
    <row r="1" spans="1:45" ht="41.25" customHeight="1" x14ac:dyDescent="0.2">
      <c r="A1" s="4"/>
      <c r="B1" s="48" t="s">
        <v>34</v>
      </c>
      <c r="C1" s="48"/>
      <c r="D1" s="48"/>
      <c r="E1" s="48"/>
      <c r="F1" s="48"/>
      <c r="G1" s="48"/>
      <c r="H1" s="48"/>
      <c r="I1" s="48"/>
      <c r="J1" s="48"/>
      <c r="K1" s="48"/>
      <c r="L1" s="4"/>
      <c r="N1" s="9"/>
      <c r="O1" s="49" t="s">
        <v>27</v>
      </c>
      <c r="P1" s="49"/>
      <c r="Q1" s="49"/>
      <c r="R1" s="5"/>
      <c r="T1" s="45" t="s">
        <v>26</v>
      </c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M1" s="4"/>
      <c r="AN1" s="4"/>
      <c r="AO1" s="4"/>
      <c r="AP1" s="4"/>
      <c r="AQ1" s="4"/>
      <c r="AR1" s="4"/>
      <c r="AS1" s="4"/>
    </row>
    <row r="2" spans="1:45" ht="41.25" customHeight="1" x14ac:dyDescent="0.2">
      <c r="A2" s="48" t="s">
        <v>36</v>
      </c>
      <c r="B2" s="48"/>
      <c r="C2" s="48" t="s">
        <v>35</v>
      </c>
      <c r="D2" s="48"/>
      <c r="E2" s="48"/>
      <c r="F2" s="48"/>
      <c r="G2" s="48"/>
      <c r="H2" s="48"/>
      <c r="I2" s="48"/>
      <c r="J2" s="48" t="s">
        <v>37</v>
      </c>
      <c r="K2" s="48"/>
      <c r="L2" s="48"/>
      <c r="N2" s="9"/>
      <c r="O2" s="50"/>
      <c r="P2" s="50"/>
      <c r="Q2" s="50"/>
      <c r="R2" s="5"/>
      <c r="T2" s="45" t="s">
        <v>40</v>
      </c>
      <c r="U2" s="46"/>
      <c r="V2" s="45" t="s">
        <v>41</v>
      </c>
      <c r="W2" s="47"/>
      <c r="X2" s="45">
        <v>2331</v>
      </c>
      <c r="Y2" s="46"/>
      <c r="Z2" s="47"/>
      <c r="AD2" s="45" t="s">
        <v>9</v>
      </c>
      <c r="AE2" s="46"/>
      <c r="AF2" s="47"/>
      <c r="AG2" s="4" t="s">
        <v>18</v>
      </c>
      <c r="AH2" s="45">
        <v>1866</v>
      </c>
      <c r="AI2" s="46"/>
      <c r="AJ2" s="47"/>
      <c r="AK2" s="4"/>
      <c r="AM2" s="45" t="s">
        <v>33</v>
      </c>
      <c r="AN2" s="46"/>
      <c r="AO2" s="46"/>
      <c r="AP2" s="46"/>
      <c r="AQ2" s="46"/>
      <c r="AR2" s="46"/>
      <c r="AS2" s="47"/>
    </row>
    <row r="3" spans="1:45" ht="41.2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11</v>
      </c>
      <c r="I3" s="4" t="s">
        <v>7</v>
      </c>
      <c r="J3" s="4" t="s">
        <v>8</v>
      </c>
      <c r="K3" s="4" t="s">
        <v>9</v>
      </c>
      <c r="L3" s="4" t="s">
        <v>10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T3" s="12" t="s">
        <v>1</v>
      </c>
      <c r="U3" s="4" t="s">
        <v>17</v>
      </c>
      <c r="V3" s="4" t="s">
        <v>8</v>
      </c>
      <c r="W3" s="4" t="s">
        <v>18</v>
      </c>
      <c r="X3" s="4" t="s">
        <v>19</v>
      </c>
      <c r="Y3" s="4" t="s">
        <v>8</v>
      </c>
      <c r="Z3" s="4" t="s">
        <v>38</v>
      </c>
      <c r="AA3" s="6" t="s">
        <v>25</v>
      </c>
      <c r="AB3" s="6" t="s">
        <v>39</v>
      </c>
      <c r="AC3" s="6" t="s">
        <v>42</v>
      </c>
      <c r="AD3" s="4" t="s">
        <v>20</v>
      </c>
      <c r="AE3" s="4" t="s">
        <v>21</v>
      </c>
      <c r="AF3" s="4" t="s">
        <v>22</v>
      </c>
      <c r="AG3" s="4" t="s">
        <v>43</v>
      </c>
      <c r="AH3" s="4" t="s">
        <v>7</v>
      </c>
      <c r="AI3" s="4" t="s">
        <v>44</v>
      </c>
      <c r="AJ3" s="4" t="s">
        <v>8</v>
      </c>
      <c r="AK3" s="4" t="s">
        <v>24</v>
      </c>
      <c r="AM3" s="4" t="s">
        <v>28</v>
      </c>
      <c r="AN3" s="4" t="s">
        <v>29</v>
      </c>
      <c r="AO3" s="4" t="s">
        <v>14</v>
      </c>
      <c r="AP3" s="4" t="s">
        <v>31</v>
      </c>
      <c r="AQ3" s="4" t="s">
        <v>32</v>
      </c>
      <c r="AR3" s="4" t="s">
        <v>16</v>
      </c>
    </row>
    <row r="4" spans="1:45" ht="41.25" customHeight="1" x14ac:dyDescent="0.2">
      <c r="A4" s="4">
        <v>1</v>
      </c>
      <c r="B4" s="10">
        <v>45839</v>
      </c>
      <c r="C4" s="4">
        <v>5</v>
      </c>
      <c r="D4" s="4"/>
      <c r="E4" s="4">
        <v>5</v>
      </c>
      <c r="F4" s="4">
        <v>4.5</v>
      </c>
      <c r="G4" s="4"/>
      <c r="H4" s="4">
        <v>0.5</v>
      </c>
      <c r="I4" s="4">
        <v>0.5</v>
      </c>
      <c r="J4" s="11"/>
      <c r="K4" s="4">
        <v>3</v>
      </c>
      <c r="L4" s="4">
        <v>3</v>
      </c>
      <c r="N4" s="4"/>
      <c r="O4" s="4"/>
      <c r="P4" s="4"/>
      <c r="Q4" s="4"/>
      <c r="R4" s="4"/>
      <c r="T4" s="16">
        <v>45875</v>
      </c>
      <c r="U4" s="13">
        <v>477</v>
      </c>
      <c r="V4" s="4">
        <v>770.25</v>
      </c>
      <c r="W4" s="4">
        <v>477</v>
      </c>
      <c r="X4" s="4">
        <v>770.25</v>
      </c>
      <c r="Y4" s="4">
        <f>X4/W4</f>
        <v>1.6147798742138364</v>
      </c>
      <c r="Z4" s="4">
        <v>447</v>
      </c>
      <c r="AA4" s="4">
        <f>Z4*100/X2</f>
        <v>19.176319176319176</v>
      </c>
      <c r="AB4" s="4">
        <v>1866</v>
      </c>
      <c r="AC4" s="4">
        <f>AB4+Z4-X2</f>
        <v>-18</v>
      </c>
      <c r="AD4" s="4">
        <v>15</v>
      </c>
      <c r="AE4" s="4">
        <v>12</v>
      </c>
      <c r="AF4" s="4">
        <v>17</v>
      </c>
      <c r="AG4" s="4">
        <v>3047.25</v>
      </c>
      <c r="AH4" s="42">
        <v>169.5</v>
      </c>
      <c r="AI4" s="42">
        <f>AH4*30.76</f>
        <v>5213.8200000000006</v>
      </c>
      <c r="AJ4" s="42">
        <f>AG4/AH2</f>
        <v>1.6330385852090032</v>
      </c>
      <c r="AK4" s="42">
        <f>AI4/AG5</f>
        <v>1.6962407482716553</v>
      </c>
      <c r="AM4" s="42" t="s">
        <v>49</v>
      </c>
      <c r="AN4" s="4" t="s">
        <v>45</v>
      </c>
      <c r="AO4" s="20">
        <v>35</v>
      </c>
      <c r="AP4" s="4">
        <v>4</v>
      </c>
      <c r="AQ4" s="20">
        <f>AO4*AP4</f>
        <v>140</v>
      </c>
      <c r="AR4" s="4"/>
      <c r="AS4" s="4"/>
    </row>
    <row r="5" spans="1:45" ht="41.25" customHeight="1" x14ac:dyDescent="0.2">
      <c r="A5" s="4">
        <v>2</v>
      </c>
      <c r="B5" s="10">
        <v>45840</v>
      </c>
      <c r="C5" s="4"/>
      <c r="D5" s="4"/>
      <c r="E5" s="4">
        <v>5</v>
      </c>
      <c r="F5" s="4">
        <v>4</v>
      </c>
      <c r="G5" s="4"/>
      <c r="H5" s="4">
        <v>0.5</v>
      </c>
      <c r="I5" s="4">
        <v>1</v>
      </c>
      <c r="J5" s="11"/>
      <c r="K5" s="4">
        <v>4</v>
      </c>
      <c r="L5" s="4">
        <f>L4+K5</f>
        <v>7</v>
      </c>
      <c r="N5" s="4"/>
      <c r="O5" s="4"/>
      <c r="P5" s="4"/>
      <c r="Q5" s="4"/>
      <c r="R5" s="4"/>
      <c r="T5" s="16">
        <v>45878</v>
      </c>
      <c r="U5" s="4">
        <v>12</v>
      </c>
      <c r="V5" s="4">
        <v>9.35</v>
      </c>
      <c r="W5" s="4">
        <f>W4+U5</f>
        <v>489</v>
      </c>
      <c r="X5" s="4">
        <f>X4+V5</f>
        <v>779.6</v>
      </c>
      <c r="Y5" s="4">
        <f>X5/W5</f>
        <v>1.5942740286298569</v>
      </c>
      <c r="Z5" s="4"/>
      <c r="AA5" s="4"/>
      <c r="AB5" s="4"/>
      <c r="AC5" s="4"/>
      <c r="AD5" s="4">
        <f>AD4*0.3</f>
        <v>4.5</v>
      </c>
      <c r="AE5" s="4">
        <f>AE4*0.7</f>
        <v>8.3999999999999986</v>
      </c>
      <c r="AF5" s="4">
        <f>AF4*0.8</f>
        <v>13.600000000000001</v>
      </c>
      <c r="AG5" s="4">
        <f>AD5+AE5+AF5+AG4</f>
        <v>3073.75</v>
      </c>
      <c r="AH5" s="44"/>
      <c r="AI5" s="44"/>
      <c r="AJ5" s="44"/>
      <c r="AK5" s="44"/>
      <c r="AM5" s="43"/>
      <c r="AN5" s="4" t="s">
        <v>46</v>
      </c>
      <c r="AO5" s="20">
        <v>20</v>
      </c>
      <c r="AP5" s="4">
        <v>4</v>
      </c>
      <c r="AQ5" s="20">
        <f>AO5*AP5</f>
        <v>80</v>
      </c>
      <c r="AR5" s="4"/>
      <c r="AS5" s="4"/>
    </row>
    <row r="6" spans="1:45" ht="41.25" customHeight="1" x14ac:dyDescent="0.2">
      <c r="A6" s="4">
        <v>3</v>
      </c>
      <c r="B6" s="10">
        <v>45841</v>
      </c>
      <c r="C6" s="4"/>
      <c r="D6" s="4"/>
      <c r="E6" s="4">
        <v>5</v>
      </c>
      <c r="F6" s="4">
        <v>3</v>
      </c>
      <c r="G6" s="4"/>
      <c r="H6" s="4">
        <v>1</v>
      </c>
      <c r="I6" s="4">
        <v>2</v>
      </c>
      <c r="J6" s="11"/>
      <c r="K6" s="4">
        <v>4</v>
      </c>
      <c r="L6" s="4">
        <f t="shared" ref="L6:L53" si="0">L5+K6</f>
        <v>11</v>
      </c>
      <c r="N6" s="4"/>
      <c r="O6" s="4"/>
      <c r="P6" s="4"/>
      <c r="Q6" s="4"/>
      <c r="R6" s="4"/>
      <c r="T6" s="17">
        <v>45879</v>
      </c>
      <c r="U6" s="4">
        <v>518</v>
      </c>
      <c r="V6" s="4">
        <v>787.75</v>
      </c>
      <c r="W6" s="4">
        <f t="shared" ref="W6:W53" si="1">W5+U6</f>
        <v>1007</v>
      </c>
      <c r="X6" s="4">
        <f t="shared" ref="X6:X53" si="2">X5+V6</f>
        <v>1567.35</v>
      </c>
      <c r="Y6" s="4">
        <f t="shared" ref="Y6:Y53" si="3">X6/W6</f>
        <v>1.5564548162859979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M6" s="43"/>
      <c r="AN6" s="4" t="s">
        <v>47</v>
      </c>
      <c r="AO6" s="20">
        <v>20</v>
      </c>
      <c r="AP6" s="4">
        <v>4</v>
      </c>
      <c r="AQ6" s="20">
        <f>AO6*AP6</f>
        <v>80</v>
      </c>
      <c r="AR6" s="4"/>
      <c r="AS6" s="4"/>
    </row>
    <row r="7" spans="1:45" ht="41.25" customHeight="1" x14ac:dyDescent="0.2">
      <c r="A7" s="4">
        <v>4</v>
      </c>
      <c r="B7" s="10">
        <v>45842</v>
      </c>
      <c r="C7" s="4"/>
      <c r="D7" s="4"/>
      <c r="E7" s="4">
        <v>5</v>
      </c>
      <c r="F7" s="4">
        <v>2</v>
      </c>
      <c r="G7" s="4"/>
      <c r="H7" s="4">
        <v>1</v>
      </c>
      <c r="I7" s="4">
        <v>3</v>
      </c>
      <c r="J7" s="11"/>
      <c r="K7" s="4">
        <v>2</v>
      </c>
      <c r="L7" s="4">
        <f t="shared" si="0"/>
        <v>13</v>
      </c>
      <c r="N7" s="4"/>
      <c r="O7" s="4"/>
      <c r="P7" s="4"/>
      <c r="Q7" s="4"/>
      <c r="R7" s="4"/>
      <c r="T7" s="17">
        <v>45885</v>
      </c>
      <c r="U7" s="4">
        <v>574</v>
      </c>
      <c r="V7" s="4">
        <v>991.05</v>
      </c>
      <c r="W7" s="4">
        <f t="shared" si="1"/>
        <v>1581</v>
      </c>
      <c r="X7" s="4">
        <f t="shared" si="2"/>
        <v>2558.3999999999996</v>
      </c>
      <c r="Y7" s="4">
        <f t="shared" si="3"/>
        <v>1.6182163187855785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M7" s="44"/>
      <c r="AN7" s="4" t="s">
        <v>48</v>
      </c>
      <c r="AO7" s="11">
        <v>20</v>
      </c>
      <c r="AP7" s="4">
        <v>4</v>
      </c>
      <c r="AQ7" s="11">
        <f t="shared" ref="AQ7:AQ64" si="4">AO7*AP7</f>
        <v>80</v>
      </c>
      <c r="AR7" s="4"/>
      <c r="AS7" s="4"/>
    </row>
    <row r="8" spans="1:45" ht="41.25" customHeight="1" x14ac:dyDescent="0.2">
      <c r="A8" s="4">
        <v>5</v>
      </c>
      <c r="B8" s="10">
        <v>45843</v>
      </c>
      <c r="C8" s="4">
        <v>5</v>
      </c>
      <c r="D8" s="4"/>
      <c r="E8" s="4">
        <v>10</v>
      </c>
      <c r="F8" s="4">
        <v>6</v>
      </c>
      <c r="G8" s="4"/>
      <c r="H8" s="4">
        <v>1</v>
      </c>
      <c r="I8" s="4">
        <v>4</v>
      </c>
      <c r="J8" s="11"/>
      <c r="K8" s="4">
        <v>1</v>
      </c>
      <c r="L8" s="4">
        <f t="shared" si="0"/>
        <v>14</v>
      </c>
      <c r="N8" s="4"/>
      <c r="O8" s="4"/>
      <c r="P8" s="4"/>
      <c r="Q8" s="4"/>
      <c r="R8" s="4"/>
      <c r="T8" s="19">
        <v>45886</v>
      </c>
      <c r="U8" s="18">
        <v>240</v>
      </c>
      <c r="V8" s="4">
        <v>417.75</v>
      </c>
      <c r="W8" s="4">
        <f t="shared" si="1"/>
        <v>1821</v>
      </c>
      <c r="X8" s="4">
        <f t="shared" si="2"/>
        <v>2976.1499999999996</v>
      </c>
      <c r="Y8" s="4">
        <f t="shared" si="3"/>
        <v>1.6343492586490938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M8" s="42" t="s">
        <v>52</v>
      </c>
      <c r="AN8" s="4" t="s">
        <v>50</v>
      </c>
      <c r="AO8" s="11">
        <v>15</v>
      </c>
      <c r="AP8" s="4">
        <v>3</v>
      </c>
      <c r="AQ8" s="11">
        <f t="shared" si="4"/>
        <v>45</v>
      </c>
      <c r="AR8" s="4"/>
      <c r="AS8" s="4"/>
    </row>
    <row r="9" spans="1:45" ht="41.25" customHeight="1" x14ac:dyDescent="0.2">
      <c r="A9" s="4">
        <v>6</v>
      </c>
      <c r="B9" s="10">
        <v>45844</v>
      </c>
      <c r="C9" s="4">
        <v>5</v>
      </c>
      <c r="D9" s="4"/>
      <c r="E9" s="4">
        <v>15</v>
      </c>
      <c r="F9" s="4">
        <v>9.5</v>
      </c>
      <c r="G9" s="4"/>
      <c r="H9" s="4">
        <v>1.5</v>
      </c>
      <c r="I9" s="4">
        <v>5.5</v>
      </c>
      <c r="J9" s="11"/>
      <c r="K9" s="4">
        <v>4</v>
      </c>
      <c r="L9" s="4">
        <f t="shared" si="0"/>
        <v>18</v>
      </c>
      <c r="N9" s="4"/>
      <c r="O9" s="4"/>
      <c r="P9" s="4"/>
      <c r="Q9" s="4"/>
      <c r="R9" s="4"/>
      <c r="T9" s="19">
        <v>45887</v>
      </c>
      <c r="U9" s="4">
        <v>45</v>
      </c>
      <c r="V9" s="4">
        <v>71.099999999999994</v>
      </c>
      <c r="W9" s="4">
        <f t="shared" si="1"/>
        <v>1866</v>
      </c>
      <c r="X9" s="4">
        <f t="shared" si="2"/>
        <v>3047.2499999999995</v>
      </c>
      <c r="Y9" s="4">
        <f t="shared" si="3"/>
        <v>1.633038585209003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M9" s="43"/>
      <c r="AN9" s="4" t="s">
        <v>51</v>
      </c>
      <c r="AO9" s="11">
        <v>15</v>
      </c>
      <c r="AP9" s="4">
        <v>3</v>
      </c>
      <c r="AQ9" s="11">
        <f t="shared" si="4"/>
        <v>45</v>
      </c>
      <c r="AR9" s="4"/>
      <c r="AS9" s="4"/>
    </row>
    <row r="10" spans="1:45" ht="41.25" customHeight="1" x14ac:dyDescent="0.2">
      <c r="A10" s="4">
        <v>7</v>
      </c>
      <c r="B10" s="10">
        <v>45845</v>
      </c>
      <c r="C10" s="4"/>
      <c r="D10" s="4"/>
      <c r="E10" s="4">
        <v>15</v>
      </c>
      <c r="F10" s="4">
        <v>8</v>
      </c>
      <c r="G10" s="4"/>
      <c r="H10" s="4">
        <v>1.5</v>
      </c>
      <c r="I10" s="4">
        <v>7</v>
      </c>
      <c r="J10" s="11">
        <v>206</v>
      </c>
      <c r="K10" s="4">
        <v>1</v>
      </c>
      <c r="L10" s="4">
        <f t="shared" si="0"/>
        <v>19</v>
      </c>
      <c r="N10" s="4"/>
      <c r="O10" s="4"/>
      <c r="P10" s="4"/>
      <c r="Q10" s="4"/>
      <c r="R10" s="4"/>
      <c r="T10" s="14"/>
      <c r="U10" s="4"/>
      <c r="V10" s="4"/>
      <c r="W10" s="4">
        <f t="shared" si="1"/>
        <v>1866</v>
      </c>
      <c r="X10" s="4">
        <f t="shared" si="2"/>
        <v>3047.2499999999995</v>
      </c>
      <c r="Y10" s="4">
        <f t="shared" si="3"/>
        <v>1.633038585209003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M10" s="43"/>
      <c r="AN10" s="4" t="s">
        <v>48</v>
      </c>
      <c r="AO10" s="11">
        <v>35</v>
      </c>
      <c r="AP10" s="4">
        <v>3</v>
      </c>
      <c r="AQ10" s="11">
        <f t="shared" si="4"/>
        <v>105</v>
      </c>
      <c r="AR10" s="4"/>
      <c r="AS10" s="4"/>
    </row>
    <row r="11" spans="1:45" ht="41.25" customHeight="1" x14ac:dyDescent="0.2">
      <c r="A11" s="4">
        <v>8</v>
      </c>
      <c r="B11" s="10">
        <v>45846</v>
      </c>
      <c r="C11" s="4"/>
      <c r="D11" s="4"/>
      <c r="E11" s="4">
        <v>15</v>
      </c>
      <c r="F11" s="4">
        <v>6.5</v>
      </c>
      <c r="G11" s="4"/>
      <c r="H11" s="4">
        <v>1.5</v>
      </c>
      <c r="I11" s="4">
        <v>8.5</v>
      </c>
      <c r="J11" s="11"/>
      <c r="K11" s="4">
        <v>3</v>
      </c>
      <c r="L11" s="4">
        <f t="shared" si="0"/>
        <v>22</v>
      </c>
      <c r="N11" s="4"/>
      <c r="O11" s="4"/>
      <c r="P11" s="4"/>
      <c r="Q11" s="4"/>
      <c r="R11" s="4"/>
      <c r="T11" s="14"/>
      <c r="U11" s="4"/>
      <c r="V11" s="4"/>
      <c r="W11" s="4">
        <f t="shared" si="1"/>
        <v>1866</v>
      </c>
      <c r="X11" s="4">
        <f t="shared" si="2"/>
        <v>3047.2499999999995</v>
      </c>
      <c r="Y11" s="4">
        <f t="shared" si="3"/>
        <v>1.633038585209003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M11" s="44"/>
      <c r="AN11" s="4" t="s">
        <v>47</v>
      </c>
      <c r="AO11" s="20">
        <v>35</v>
      </c>
      <c r="AP11" s="4">
        <v>3</v>
      </c>
      <c r="AQ11" s="20">
        <f t="shared" si="4"/>
        <v>105</v>
      </c>
      <c r="AR11" s="4"/>
      <c r="AS11" s="4"/>
    </row>
    <row r="12" spans="1:45" ht="41.25" customHeight="1" x14ac:dyDescent="0.2">
      <c r="A12" s="4">
        <v>9</v>
      </c>
      <c r="B12" s="10">
        <v>45847</v>
      </c>
      <c r="C12" s="4"/>
      <c r="D12" s="4"/>
      <c r="E12" s="4">
        <v>15</v>
      </c>
      <c r="F12" s="4">
        <v>4.5</v>
      </c>
      <c r="G12" s="4"/>
      <c r="H12" s="4">
        <v>2</v>
      </c>
      <c r="I12" s="4">
        <v>10.5</v>
      </c>
      <c r="J12" s="11"/>
      <c r="K12" s="4">
        <v>5</v>
      </c>
      <c r="L12" s="4">
        <f t="shared" si="0"/>
        <v>27</v>
      </c>
      <c r="N12" s="4"/>
      <c r="O12" s="4"/>
      <c r="P12" s="4"/>
      <c r="Q12" s="4"/>
      <c r="R12" s="4"/>
      <c r="T12" s="14"/>
      <c r="U12" s="4"/>
      <c r="V12" s="4"/>
      <c r="W12" s="4">
        <f t="shared" si="1"/>
        <v>1866</v>
      </c>
      <c r="X12" s="4">
        <f t="shared" si="2"/>
        <v>3047.2499999999995</v>
      </c>
      <c r="Y12" s="4">
        <f t="shared" si="3"/>
        <v>1.633038585209003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M12" s="42" t="s">
        <v>55</v>
      </c>
      <c r="AN12" s="4" t="s">
        <v>53</v>
      </c>
      <c r="AO12" s="11">
        <v>460</v>
      </c>
      <c r="AP12" s="4">
        <v>3</v>
      </c>
      <c r="AQ12" s="11">
        <f t="shared" si="4"/>
        <v>1380</v>
      </c>
      <c r="AR12" s="4"/>
      <c r="AS12" s="4"/>
    </row>
    <row r="13" spans="1:45" ht="41.25" customHeight="1" x14ac:dyDescent="0.2">
      <c r="A13" s="4">
        <v>10</v>
      </c>
      <c r="B13" s="10">
        <v>45848</v>
      </c>
      <c r="C13" s="4">
        <v>5</v>
      </c>
      <c r="D13" s="4"/>
      <c r="E13" s="4">
        <v>20</v>
      </c>
      <c r="F13" s="4">
        <v>7.5</v>
      </c>
      <c r="G13" s="4"/>
      <c r="H13" s="4">
        <v>2</v>
      </c>
      <c r="I13" s="4">
        <v>12.5</v>
      </c>
      <c r="J13" s="11"/>
      <c r="K13" s="4">
        <v>8</v>
      </c>
      <c r="L13" s="4">
        <f t="shared" si="0"/>
        <v>35</v>
      </c>
      <c r="N13" s="4"/>
      <c r="O13" s="4"/>
      <c r="P13" s="4"/>
      <c r="Q13" s="4"/>
      <c r="R13" s="4"/>
      <c r="T13" s="14"/>
      <c r="U13" s="4"/>
      <c r="V13" s="4"/>
      <c r="W13" s="4">
        <f t="shared" si="1"/>
        <v>1866</v>
      </c>
      <c r="X13" s="4">
        <f t="shared" si="2"/>
        <v>3047.2499999999995</v>
      </c>
      <c r="Y13" s="4">
        <f t="shared" si="3"/>
        <v>1.633038585209003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M13" s="43"/>
      <c r="AN13" s="4" t="s">
        <v>54</v>
      </c>
      <c r="AO13" s="20">
        <v>46</v>
      </c>
      <c r="AP13" s="4">
        <v>3</v>
      </c>
      <c r="AQ13" s="20">
        <f t="shared" si="4"/>
        <v>138</v>
      </c>
      <c r="AR13" s="4"/>
      <c r="AS13" s="4"/>
    </row>
    <row r="14" spans="1:45" ht="41.25" customHeight="1" x14ac:dyDescent="0.2">
      <c r="A14" s="4">
        <v>11</v>
      </c>
      <c r="B14" s="10">
        <v>45849</v>
      </c>
      <c r="C14" s="4"/>
      <c r="D14" s="4"/>
      <c r="E14" s="4">
        <v>20</v>
      </c>
      <c r="F14" s="4">
        <v>5.5</v>
      </c>
      <c r="G14" s="4"/>
      <c r="H14" s="4">
        <v>2</v>
      </c>
      <c r="I14" s="4">
        <v>14.5</v>
      </c>
      <c r="J14" s="11"/>
      <c r="K14" s="4">
        <v>28</v>
      </c>
      <c r="L14" s="4">
        <f t="shared" si="0"/>
        <v>63</v>
      </c>
      <c r="N14" s="4"/>
      <c r="O14" s="4"/>
      <c r="P14" s="4"/>
      <c r="Q14" s="4"/>
      <c r="R14" s="4"/>
      <c r="T14" s="14"/>
      <c r="U14" s="4"/>
      <c r="V14" s="4"/>
      <c r="W14" s="4">
        <f t="shared" si="1"/>
        <v>1866</v>
      </c>
      <c r="X14" s="4">
        <f t="shared" si="2"/>
        <v>3047.2499999999995</v>
      </c>
      <c r="Y14" s="4">
        <f t="shared" si="3"/>
        <v>1.633038585209003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M14" s="44"/>
      <c r="AN14" s="4" t="s">
        <v>48</v>
      </c>
      <c r="AO14" s="11">
        <v>46</v>
      </c>
      <c r="AP14" s="4">
        <v>3</v>
      </c>
      <c r="AQ14" s="11">
        <f t="shared" si="4"/>
        <v>138</v>
      </c>
      <c r="AR14" s="4"/>
      <c r="AS14" s="4"/>
    </row>
    <row r="15" spans="1:45" ht="41.25" customHeight="1" x14ac:dyDescent="0.2">
      <c r="A15" s="4">
        <v>12</v>
      </c>
      <c r="B15" s="10">
        <v>45850</v>
      </c>
      <c r="C15" s="4">
        <v>5</v>
      </c>
      <c r="D15" s="4"/>
      <c r="E15" s="4">
        <v>25</v>
      </c>
      <c r="F15" s="4">
        <v>8</v>
      </c>
      <c r="G15" s="4"/>
      <c r="H15" s="4">
        <f>I15-I14</f>
        <v>2.5</v>
      </c>
      <c r="I15" s="4">
        <f>E15-F15</f>
        <v>17</v>
      </c>
      <c r="J15" s="11"/>
      <c r="K15" s="1">
        <v>69</v>
      </c>
      <c r="L15" s="4">
        <f t="shared" si="0"/>
        <v>132</v>
      </c>
      <c r="N15" s="4"/>
      <c r="O15" s="4"/>
      <c r="P15" s="4"/>
      <c r="Q15" s="4"/>
      <c r="R15" s="4"/>
      <c r="T15" s="14"/>
      <c r="U15" s="4"/>
      <c r="V15" s="4"/>
      <c r="W15" s="4">
        <f t="shared" si="1"/>
        <v>1866</v>
      </c>
      <c r="X15" s="4">
        <f t="shared" si="2"/>
        <v>3047.2499999999995</v>
      </c>
      <c r="Y15" s="4">
        <f t="shared" si="3"/>
        <v>1.633038585209003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M15" s="42" t="s">
        <v>57</v>
      </c>
      <c r="AN15" s="4" t="s">
        <v>56</v>
      </c>
      <c r="AO15" s="20">
        <v>230</v>
      </c>
      <c r="AP15" s="4">
        <v>2</v>
      </c>
      <c r="AQ15" s="20">
        <f t="shared" si="4"/>
        <v>460</v>
      </c>
      <c r="AR15" s="4"/>
      <c r="AS15" s="4"/>
    </row>
    <row r="16" spans="1:45" ht="41.25" customHeight="1" x14ac:dyDescent="0.2">
      <c r="A16" s="4">
        <v>13</v>
      </c>
      <c r="B16" s="10">
        <v>45851</v>
      </c>
      <c r="C16" s="4"/>
      <c r="D16" s="4"/>
      <c r="E16" s="4">
        <v>25</v>
      </c>
      <c r="F16" s="4">
        <v>5.5</v>
      </c>
      <c r="G16" s="4"/>
      <c r="H16" s="4">
        <f>I16-I15</f>
        <v>2.5</v>
      </c>
      <c r="I16" s="4">
        <f>E16-F16</f>
        <v>19.5</v>
      </c>
      <c r="J16" s="11"/>
      <c r="K16" s="4">
        <v>74</v>
      </c>
      <c r="L16" s="4">
        <f t="shared" si="0"/>
        <v>206</v>
      </c>
      <c r="N16" s="4"/>
      <c r="O16" s="4"/>
      <c r="P16" s="4"/>
      <c r="Q16" s="4"/>
      <c r="R16" s="4"/>
      <c r="T16" s="14"/>
      <c r="U16" s="4"/>
      <c r="V16" s="4"/>
      <c r="W16" s="4">
        <f t="shared" si="1"/>
        <v>1866</v>
      </c>
      <c r="X16" s="4">
        <f t="shared" si="2"/>
        <v>3047.2499999999995</v>
      </c>
      <c r="Y16" s="4">
        <f t="shared" si="3"/>
        <v>1.633038585209003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M16" s="43"/>
      <c r="AN16" s="4" t="s">
        <v>53</v>
      </c>
      <c r="AO16" s="11">
        <v>460</v>
      </c>
      <c r="AP16" s="4">
        <v>2</v>
      </c>
      <c r="AQ16" s="11">
        <f t="shared" si="4"/>
        <v>920</v>
      </c>
      <c r="AR16" s="4"/>
      <c r="AS16" s="4"/>
    </row>
    <row r="17" spans="1:45" ht="41.25" customHeight="1" x14ac:dyDescent="0.2">
      <c r="A17" s="4">
        <v>14</v>
      </c>
      <c r="B17" s="10">
        <v>45852</v>
      </c>
      <c r="C17" s="4"/>
      <c r="D17" s="4"/>
      <c r="E17" s="4">
        <v>25</v>
      </c>
      <c r="F17" s="4">
        <v>3</v>
      </c>
      <c r="G17" s="4"/>
      <c r="H17" s="4">
        <f t="shared" ref="H17:H51" si="5">I17-I16</f>
        <v>2.5</v>
      </c>
      <c r="I17" s="4">
        <f t="shared" ref="I17:I34" si="6">E17-F17</f>
        <v>22</v>
      </c>
      <c r="J17" s="11"/>
      <c r="K17" s="4">
        <v>55</v>
      </c>
      <c r="L17" s="4">
        <f t="shared" si="0"/>
        <v>261</v>
      </c>
      <c r="N17" s="4"/>
      <c r="O17" s="4"/>
      <c r="P17" s="4"/>
      <c r="Q17" s="4"/>
      <c r="R17" s="4"/>
      <c r="T17" s="14"/>
      <c r="U17" s="4"/>
      <c r="V17" s="4"/>
      <c r="W17" s="4">
        <f t="shared" si="1"/>
        <v>1866</v>
      </c>
      <c r="X17" s="4">
        <f t="shared" si="2"/>
        <v>3047.2499999999995</v>
      </c>
      <c r="Y17" s="4">
        <f t="shared" si="3"/>
        <v>1.633038585209003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M17" s="43"/>
      <c r="AN17" s="4" t="s">
        <v>54</v>
      </c>
      <c r="AO17" s="20">
        <v>46</v>
      </c>
      <c r="AP17" s="4">
        <v>2</v>
      </c>
      <c r="AQ17" s="20">
        <f t="shared" si="4"/>
        <v>92</v>
      </c>
      <c r="AR17" s="4"/>
      <c r="AS17" s="4"/>
    </row>
    <row r="18" spans="1:45" ht="41.25" customHeight="1" x14ac:dyDescent="0.2">
      <c r="A18" s="4">
        <v>15</v>
      </c>
      <c r="B18" s="10">
        <v>45853</v>
      </c>
      <c r="C18" s="4">
        <v>5</v>
      </c>
      <c r="D18" s="4"/>
      <c r="E18" s="4">
        <v>30</v>
      </c>
      <c r="F18" s="4">
        <v>5.5</v>
      </c>
      <c r="G18" s="4"/>
      <c r="H18" s="4">
        <f t="shared" si="5"/>
        <v>2.5</v>
      </c>
      <c r="I18" s="4">
        <f t="shared" si="6"/>
        <v>24.5</v>
      </c>
      <c r="J18" s="11"/>
      <c r="K18" s="4">
        <v>32</v>
      </c>
      <c r="L18" s="4">
        <f t="shared" si="0"/>
        <v>293</v>
      </c>
      <c r="N18" s="4"/>
      <c r="O18" s="4"/>
      <c r="P18" s="4"/>
      <c r="Q18" s="4"/>
      <c r="R18" s="4"/>
      <c r="T18" s="14"/>
      <c r="U18" s="4"/>
      <c r="V18" s="4"/>
      <c r="W18" s="4">
        <f t="shared" si="1"/>
        <v>1866</v>
      </c>
      <c r="X18" s="4">
        <f t="shared" si="2"/>
        <v>3047.2499999999995</v>
      </c>
      <c r="Y18" s="4">
        <f t="shared" si="3"/>
        <v>1.633038585209003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M18" s="44"/>
      <c r="AN18" s="4" t="s">
        <v>48</v>
      </c>
      <c r="AO18" s="11">
        <v>46</v>
      </c>
      <c r="AP18" s="4">
        <v>2</v>
      </c>
      <c r="AQ18" s="11">
        <f t="shared" si="4"/>
        <v>92</v>
      </c>
      <c r="AR18" s="4"/>
      <c r="AS18" s="4"/>
    </row>
    <row r="19" spans="1:45" ht="41.25" customHeight="1" x14ac:dyDescent="0.2">
      <c r="A19" s="4">
        <v>16</v>
      </c>
      <c r="B19" s="10">
        <v>45854</v>
      </c>
      <c r="C19" s="4"/>
      <c r="D19" s="4"/>
      <c r="E19" s="4">
        <v>30</v>
      </c>
      <c r="F19" s="4">
        <v>2.5</v>
      </c>
      <c r="G19" s="4"/>
      <c r="H19" s="4">
        <f t="shared" si="5"/>
        <v>3</v>
      </c>
      <c r="I19" s="4">
        <f t="shared" si="6"/>
        <v>27.5</v>
      </c>
      <c r="J19" s="11"/>
      <c r="K19" s="4">
        <v>26</v>
      </c>
      <c r="L19" s="4">
        <f t="shared" si="0"/>
        <v>319</v>
      </c>
      <c r="N19" s="4"/>
      <c r="O19" s="4"/>
      <c r="P19" s="4"/>
      <c r="Q19" s="4"/>
      <c r="R19" s="4"/>
      <c r="T19" s="14"/>
      <c r="U19" s="4"/>
      <c r="V19" s="4"/>
      <c r="W19" s="4">
        <f t="shared" si="1"/>
        <v>1866</v>
      </c>
      <c r="X19" s="4">
        <f t="shared" si="2"/>
        <v>3047.2499999999995</v>
      </c>
      <c r="Y19" s="4">
        <f t="shared" si="3"/>
        <v>1.633038585209003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M19" s="42" t="s">
        <v>59</v>
      </c>
      <c r="AN19" s="4" t="s">
        <v>53</v>
      </c>
      <c r="AO19" s="11">
        <v>460</v>
      </c>
      <c r="AP19" s="4">
        <v>3</v>
      </c>
      <c r="AQ19" s="11">
        <f t="shared" si="4"/>
        <v>1380</v>
      </c>
      <c r="AR19" s="4"/>
      <c r="AS19" s="4"/>
    </row>
    <row r="20" spans="1:45" ht="41.25" customHeight="1" x14ac:dyDescent="0.2">
      <c r="A20" s="4">
        <v>17</v>
      </c>
      <c r="B20" s="10">
        <v>45855</v>
      </c>
      <c r="C20" s="4"/>
      <c r="D20" s="4"/>
      <c r="E20" s="4">
        <v>30</v>
      </c>
      <c r="F20" s="4"/>
      <c r="G20" s="4"/>
      <c r="H20" s="4">
        <f t="shared" si="5"/>
        <v>2.5</v>
      </c>
      <c r="I20" s="4">
        <f t="shared" si="6"/>
        <v>30</v>
      </c>
      <c r="J20" s="11"/>
      <c r="K20" s="4">
        <v>22</v>
      </c>
      <c r="L20" s="4">
        <f t="shared" si="0"/>
        <v>341</v>
      </c>
      <c r="N20" s="4"/>
      <c r="O20" s="4"/>
      <c r="P20" s="4"/>
      <c r="Q20" s="4"/>
      <c r="R20" s="4"/>
      <c r="T20" s="14"/>
      <c r="U20" s="4"/>
      <c r="V20" s="4"/>
      <c r="W20" s="4">
        <f t="shared" si="1"/>
        <v>1866</v>
      </c>
      <c r="X20" s="4">
        <f t="shared" si="2"/>
        <v>3047.2499999999995</v>
      </c>
      <c r="Y20" s="4">
        <f t="shared" si="3"/>
        <v>1.633038585209003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M20" s="43"/>
      <c r="AN20" s="4" t="s">
        <v>58</v>
      </c>
      <c r="AO20" s="20">
        <v>46</v>
      </c>
      <c r="AP20" s="4">
        <v>3</v>
      </c>
      <c r="AQ20" s="20">
        <f t="shared" si="4"/>
        <v>138</v>
      </c>
      <c r="AR20" s="4"/>
      <c r="AS20" s="4"/>
    </row>
    <row r="21" spans="1:45" ht="41.25" customHeight="1" x14ac:dyDescent="0.2">
      <c r="A21" s="4">
        <v>18</v>
      </c>
      <c r="B21" s="10">
        <v>45856</v>
      </c>
      <c r="C21" s="4">
        <v>10</v>
      </c>
      <c r="D21" s="4"/>
      <c r="E21" s="4">
        <v>40</v>
      </c>
      <c r="F21" s="4">
        <v>7</v>
      </c>
      <c r="G21" s="4"/>
      <c r="H21" s="4">
        <f t="shared" si="5"/>
        <v>3</v>
      </c>
      <c r="I21" s="4">
        <f t="shared" si="6"/>
        <v>33</v>
      </c>
      <c r="J21" s="11"/>
      <c r="K21" s="4">
        <v>24</v>
      </c>
      <c r="L21" s="4">
        <f t="shared" si="0"/>
        <v>365</v>
      </c>
      <c r="N21" s="4"/>
      <c r="O21" s="4"/>
      <c r="P21" s="4"/>
      <c r="Q21" s="4"/>
      <c r="R21" s="4"/>
      <c r="T21" s="14"/>
      <c r="U21" s="4"/>
      <c r="V21" s="4"/>
      <c r="W21" s="4">
        <f t="shared" si="1"/>
        <v>1866</v>
      </c>
      <c r="X21" s="4">
        <f t="shared" si="2"/>
        <v>3047.2499999999995</v>
      </c>
      <c r="Y21" s="4">
        <f t="shared" si="3"/>
        <v>1.633038585209003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M21" s="44"/>
      <c r="AN21" s="4" t="s">
        <v>48</v>
      </c>
      <c r="AO21" s="11">
        <v>57</v>
      </c>
      <c r="AP21" s="4">
        <v>3</v>
      </c>
      <c r="AQ21" s="11">
        <f t="shared" si="4"/>
        <v>171</v>
      </c>
      <c r="AR21" s="4"/>
      <c r="AS21" s="4"/>
    </row>
    <row r="22" spans="1:45" ht="41.25" customHeight="1" x14ac:dyDescent="0.2">
      <c r="A22" s="4">
        <v>19</v>
      </c>
      <c r="B22" s="10">
        <v>45857</v>
      </c>
      <c r="C22" s="4">
        <v>10</v>
      </c>
      <c r="D22" s="4"/>
      <c r="E22" s="4">
        <v>50</v>
      </c>
      <c r="F22" s="4">
        <v>13.5</v>
      </c>
      <c r="G22" s="4"/>
      <c r="H22" s="4">
        <f t="shared" si="5"/>
        <v>3.5</v>
      </c>
      <c r="I22" s="4">
        <f t="shared" si="6"/>
        <v>36.5</v>
      </c>
      <c r="J22" s="11"/>
      <c r="K22" s="4">
        <v>19</v>
      </c>
      <c r="L22" s="4">
        <f t="shared" si="0"/>
        <v>384</v>
      </c>
      <c r="N22" s="4"/>
      <c r="O22" s="4"/>
      <c r="P22" s="4"/>
      <c r="Q22" s="4"/>
      <c r="R22" s="4"/>
      <c r="T22" s="14"/>
      <c r="U22" s="4"/>
      <c r="V22" s="4"/>
      <c r="W22" s="4">
        <f t="shared" si="1"/>
        <v>1866</v>
      </c>
      <c r="X22" s="4">
        <f t="shared" si="2"/>
        <v>3047.2499999999995</v>
      </c>
      <c r="Y22" s="4">
        <f t="shared" si="3"/>
        <v>1.633038585209003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M22" s="42">
        <v>16</v>
      </c>
      <c r="AN22" s="4" t="s">
        <v>60</v>
      </c>
      <c r="AO22" s="11">
        <v>57</v>
      </c>
      <c r="AP22" s="4">
        <v>1</v>
      </c>
      <c r="AQ22" s="11">
        <f t="shared" si="4"/>
        <v>57</v>
      </c>
      <c r="AR22" s="4"/>
      <c r="AS22" s="4"/>
    </row>
    <row r="23" spans="1:45" ht="41.25" customHeight="1" x14ac:dyDescent="0.2">
      <c r="A23" s="4">
        <v>20</v>
      </c>
      <c r="B23" s="10">
        <v>45858</v>
      </c>
      <c r="C23" s="4"/>
      <c r="D23" s="4"/>
      <c r="E23" s="4">
        <v>50</v>
      </c>
      <c r="F23" s="4">
        <v>9</v>
      </c>
      <c r="G23" s="4"/>
      <c r="H23" s="4">
        <f t="shared" si="5"/>
        <v>4.5</v>
      </c>
      <c r="I23" s="4">
        <f t="shared" si="6"/>
        <v>41</v>
      </c>
      <c r="J23" s="11"/>
      <c r="K23" s="4">
        <v>19</v>
      </c>
      <c r="L23" s="4">
        <f t="shared" si="0"/>
        <v>403</v>
      </c>
      <c r="N23" s="4"/>
      <c r="O23" s="4"/>
      <c r="P23" s="4"/>
      <c r="Q23" s="4"/>
      <c r="R23" s="4"/>
      <c r="T23" s="14"/>
      <c r="U23" s="4"/>
      <c r="V23" s="4"/>
      <c r="W23" s="4">
        <f t="shared" si="1"/>
        <v>1866</v>
      </c>
      <c r="X23" s="4">
        <f t="shared" si="2"/>
        <v>3047.2499999999995</v>
      </c>
      <c r="Y23" s="4">
        <f t="shared" si="3"/>
        <v>1.633038585209003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M23" s="43"/>
      <c r="AN23" s="4" t="s">
        <v>61</v>
      </c>
      <c r="AO23" s="20">
        <v>70</v>
      </c>
      <c r="AP23" s="4">
        <v>1</v>
      </c>
      <c r="AQ23" s="20">
        <f>AO23*AP23</f>
        <v>70</v>
      </c>
      <c r="AR23" s="4"/>
      <c r="AS23" s="4"/>
    </row>
    <row r="24" spans="1:45" ht="41.25" customHeight="1" x14ac:dyDescent="0.2">
      <c r="A24" s="4">
        <v>21</v>
      </c>
      <c r="B24" s="10">
        <v>45859</v>
      </c>
      <c r="C24" s="4"/>
      <c r="D24" s="4"/>
      <c r="E24" s="4">
        <v>50</v>
      </c>
      <c r="F24" s="4">
        <v>4.5</v>
      </c>
      <c r="G24" s="4"/>
      <c r="H24" s="4">
        <f t="shared" si="5"/>
        <v>4.5</v>
      </c>
      <c r="I24" s="4">
        <f t="shared" si="6"/>
        <v>45.5</v>
      </c>
      <c r="J24" s="11"/>
      <c r="K24" s="4"/>
      <c r="L24" s="4">
        <f t="shared" si="0"/>
        <v>403</v>
      </c>
      <c r="N24" s="4"/>
      <c r="O24" s="4"/>
      <c r="P24" s="4"/>
      <c r="Q24" s="4"/>
      <c r="R24" s="4"/>
      <c r="T24" s="14"/>
      <c r="U24" s="4"/>
      <c r="V24" s="4"/>
      <c r="W24" s="4">
        <f t="shared" si="1"/>
        <v>1866</v>
      </c>
      <c r="X24" s="4">
        <f t="shared" si="2"/>
        <v>3047.2499999999995</v>
      </c>
      <c r="Y24" s="4">
        <f t="shared" si="3"/>
        <v>1.633038585209003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M24" s="43"/>
      <c r="AN24" s="4" t="s">
        <v>48</v>
      </c>
      <c r="AO24" s="11">
        <v>70</v>
      </c>
      <c r="AP24" s="4">
        <v>1</v>
      </c>
      <c r="AQ24" s="11">
        <f t="shared" si="4"/>
        <v>70</v>
      </c>
      <c r="AR24" s="4"/>
      <c r="AS24" s="4"/>
    </row>
    <row r="25" spans="1:45" ht="41.25" customHeight="1" x14ac:dyDescent="0.2">
      <c r="A25" s="4">
        <v>22</v>
      </c>
      <c r="B25" s="10">
        <v>45860</v>
      </c>
      <c r="C25" s="4">
        <v>10</v>
      </c>
      <c r="D25" s="4"/>
      <c r="E25" s="4">
        <f>E24+C25</f>
        <v>60</v>
      </c>
      <c r="F25" s="4">
        <v>10</v>
      </c>
      <c r="G25" s="4"/>
      <c r="H25" s="4">
        <f t="shared" si="5"/>
        <v>4.5</v>
      </c>
      <c r="I25" s="4">
        <f t="shared" si="6"/>
        <v>50</v>
      </c>
      <c r="J25" s="11"/>
      <c r="K25" s="4"/>
      <c r="L25" s="4">
        <f t="shared" si="0"/>
        <v>403</v>
      </c>
      <c r="N25" s="4"/>
      <c r="O25" s="4"/>
      <c r="P25" s="4"/>
      <c r="Q25" s="4"/>
      <c r="R25" s="4"/>
      <c r="T25" s="14"/>
      <c r="U25" s="4"/>
      <c r="V25" s="4"/>
      <c r="W25" s="4">
        <f t="shared" si="1"/>
        <v>1866</v>
      </c>
      <c r="X25" s="4">
        <f t="shared" si="2"/>
        <v>3047.2499999999995</v>
      </c>
      <c r="Y25" s="4">
        <f t="shared" si="3"/>
        <v>1.633038585209003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M25" s="43"/>
      <c r="AN25" s="4" t="s">
        <v>62</v>
      </c>
      <c r="AO25" s="4">
        <v>2</v>
      </c>
      <c r="AP25" s="4">
        <v>1</v>
      </c>
      <c r="AQ25" s="4">
        <f>AO25*AP25</f>
        <v>2</v>
      </c>
      <c r="AR25" s="4"/>
      <c r="AS25" s="4"/>
    </row>
    <row r="26" spans="1:45" ht="41.25" customHeight="1" x14ac:dyDescent="0.2">
      <c r="A26" s="4">
        <v>23</v>
      </c>
      <c r="B26" s="10">
        <v>45861</v>
      </c>
      <c r="C26" s="4"/>
      <c r="D26" s="4"/>
      <c r="E26" s="4">
        <f t="shared" ref="E26:E33" si="7">E25+C26</f>
        <v>60</v>
      </c>
      <c r="F26" s="4">
        <v>5.5</v>
      </c>
      <c r="G26" s="4"/>
      <c r="H26" s="4">
        <f t="shared" si="5"/>
        <v>4.5</v>
      </c>
      <c r="I26" s="4">
        <f t="shared" si="6"/>
        <v>54.5</v>
      </c>
      <c r="J26" s="11"/>
      <c r="K26" s="4">
        <v>7</v>
      </c>
      <c r="L26" s="4">
        <f t="shared" si="0"/>
        <v>410</v>
      </c>
      <c r="N26" s="4"/>
      <c r="O26" s="4"/>
      <c r="P26" s="4"/>
      <c r="Q26" s="4"/>
      <c r="R26" s="4"/>
      <c r="T26" s="14"/>
      <c r="U26" s="4"/>
      <c r="V26" s="4"/>
      <c r="W26" s="4">
        <f t="shared" si="1"/>
        <v>1866</v>
      </c>
      <c r="X26" s="4">
        <f t="shared" si="2"/>
        <v>3047.2499999999995</v>
      </c>
      <c r="Y26" s="4">
        <f t="shared" si="3"/>
        <v>1.633038585209003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M26" s="44"/>
      <c r="AN26" s="4" t="s">
        <v>63</v>
      </c>
      <c r="AO26" s="11">
        <v>160</v>
      </c>
      <c r="AP26" s="4">
        <v>1</v>
      </c>
      <c r="AQ26" s="11">
        <f t="shared" si="4"/>
        <v>160</v>
      </c>
      <c r="AR26" s="4"/>
      <c r="AS26" s="4"/>
    </row>
    <row r="27" spans="1:45" ht="41.25" customHeight="1" x14ac:dyDescent="0.2">
      <c r="A27" s="4">
        <v>24</v>
      </c>
      <c r="B27" s="10">
        <v>45862</v>
      </c>
      <c r="C27" s="4">
        <v>13.5</v>
      </c>
      <c r="D27" s="4"/>
      <c r="E27" s="4">
        <f t="shared" si="7"/>
        <v>73.5</v>
      </c>
      <c r="F27" s="4">
        <v>14</v>
      </c>
      <c r="G27" s="4"/>
      <c r="H27" s="4">
        <f t="shared" si="5"/>
        <v>5</v>
      </c>
      <c r="I27" s="4">
        <f t="shared" si="6"/>
        <v>59.5</v>
      </c>
      <c r="J27" s="11"/>
      <c r="K27" s="4">
        <v>5</v>
      </c>
      <c r="L27" s="4">
        <f t="shared" si="0"/>
        <v>415</v>
      </c>
      <c r="N27" s="4"/>
      <c r="O27" s="4"/>
      <c r="P27" s="4"/>
      <c r="Q27" s="4"/>
      <c r="R27" s="4"/>
      <c r="T27" s="14"/>
      <c r="U27" s="4"/>
      <c r="V27" s="4"/>
      <c r="W27" s="4">
        <f t="shared" si="1"/>
        <v>1866</v>
      </c>
      <c r="X27" s="4">
        <f t="shared" si="2"/>
        <v>3047.2499999999995</v>
      </c>
      <c r="Y27" s="4">
        <f t="shared" si="3"/>
        <v>1.633038585209003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M27" s="42">
        <v>17</v>
      </c>
      <c r="AN27" s="4" t="s">
        <v>53</v>
      </c>
      <c r="AO27" s="11">
        <v>460</v>
      </c>
      <c r="AP27" s="4">
        <v>1</v>
      </c>
      <c r="AQ27" s="11">
        <f t="shared" si="4"/>
        <v>460</v>
      </c>
      <c r="AR27" s="4"/>
      <c r="AS27" s="4"/>
    </row>
    <row r="28" spans="1:45" ht="41.25" customHeight="1" x14ac:dyDescent="0.2">
      <c r="A28" s="4">
        <v>25</v>
      </c>
      <c r="B28" s="10">
        <v>45863</v>
      </c>
      <c r="C28" s="4"/>
      <c r="D28" s="4"/>
      <c r="E28" s="4">
        <f t="shared" si="7"/>
        <v>73.5</v>
      </c>
      <c r="F28" s="4">
        <v>9.5</v>
      </c>
      <c r="G28" s="4"/>
      <c r="H28" s="4">
        <f t="shared" si="5"/>
        <v>4.5</v>
      </c>
      <c r="I28" s="4">
        <f t="shared" si="6"/>
        <v>64</v>
      </c>
      <c r="J28" s="11"/>
      <c r="K28" s="4">
        <v>1</v>
      </c>
      <c r="L28" s="4">
        <f t="shared" si="0"/>
        <v>416</v>
      </c>
      <c r="N28" s="4"/>
      <c r="O28" s="4"/>
      <c r="P28" s="4"/>
      <c r="Q28" s="4"/>
      <c r="R28" s="4"/>
      <c r="T28" s="14"/>
      <c r="U28" s="4"/>
      <c r="V28" s="4"/>
      <c r="W28" s="4">
        <f t="shared" si="1"/>
        <v>1866</v>
      </c>
      <c r="X28" s="4">
        <f t="shared" si="2"/>
        <v>3047.2499999999995</v>
      </c>
      <c r="Y28" s="4">
        <f t="shared" si="3"/>
        <v>1.633038585209003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M28" s="43"/>
      <c r="AN28" s="4" t="s">
        <v>61</v>
      </c>
      <c r="AO28" s="20">
        <v>70</v>
      </c>
      <c r="AP28" s="4">
        <v>1</v>
      </c>
      <c r="AQ28" s="20">
        <f t="shared" si="4"/>
        <v>70</v>
      </c>
      <c r="AR28" s="4"/>
      <c r="AS28" s="4"/>
    </row>
    <row r="29" spans="1:45" ht="41.25" customHeight="1" x14ac:dyDescent="0.2">
      <c r="A29" s="4">
        <v>26</v>
      </c>
      <c r="B29" s="10">
        <v>45864</v>
      </c>
      <c r="C29" s="4">
        <v>10</v>
      </c>
      <c r="D29" s="4"/>
      <c r="E29" s="4">
        <f t="shared" si="7"/>
        <v>83.5</v>
      </c>
      <c r="F29" s="4">
        <v>15</v>
      </c>
      <c r="G29" s="4"/>
      <c r="H29" s="4">
        <f t="shared" si="5"/>
        <v>4.5</v>
      </c>
      <c r="I29" s="4">
        <f t="shared" si="6"/>
        <v>68.5</v>
      </c>
      <c r="J29" s="11"/>
      <c r="K29" s="4"/>
      <c r="L29" s="4">
        <f t="shared" si="0"/>
        <v>416</v>
      </c>
      <c r="N29" s="4"/>
      <c r="O29" s="4"/>
      <c r="P29" s="4"/>
      <c r="Q29" s="4"/>
      <c r="R29" s="4"/>
      <c r="T29" s="14"/>
      <c r="U29" s="4"/>
      <c r="V29" s="4"/>
      <c r="W29" s="4">
        <f t="shared" si="1"/>
        <v>1866</v>
      </c>
      <c r="X29" s="4">
        <f t="shared" si="2"/>
        <v>3047.2499999999995</v>
      </c>
      <c r="Y29" s="4">
        <f t="shared" si="3"/>
        <v>1.633038585209003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M29" s="44"/>
      <c r="AN29" s="4" t="s">
        <v>48</v>
      </c>
      <c r="AO29" s="11">
        <v>70</v>
      </c>
      <c r="AP29" s="4">
        <v>1</v>
      </c>
      <c r="AQ29" s="11">
        <f t="shared" si="4"/>
        <v>70</v>
      </c>
      <c r="AR29" s="4"/>
      <c r="AS29" s="4"/>
    </row>
    <row r="30" spans="1:45" ht="41.25" customHeight="1" x14ac:dyDescent="0.2">
      <c r="A30" s="4">
        <v>27</v>
      </c>
      <c r="B30" s="10">
        <v>45865</v>
      </c>
      <c r="C30" s="4">
        <v>10</v>
      </c>
      <c r="D30" s="4"/>
      <c r="E30" s="4">
        <f t="shared" si="7"/>
        <v>93.5</v>
      </c>
      <c r="F30" s="4">
        <v>20</v>
      </c>
      <c r="G30" s="4"/>
      <c r="H30" s="4">
        <f t="shared" si="5"/>
        <v>5</v>
      </c>
      <c r="I30" s="4">
        <f t="shared" si="6"/>
        <v>73.5</v>
      </c>
      <c r="J30" s="11"/>
      <c r="K30" s="4"/>
      <c r="L30" s="4">
        <f t="shared" si="0"/>
        <v>416</v>
      </c>
      <c r="N30" s="4"/>
      <c r="O30" s="4"/>
      <c r="P30" s="4"/>
      <c r="Q30" s="4"/>
      <c r="R30" s="4"/>
      <c r="T30" s="14"/>
      <c r="U30" s="4"/>
      <c r="V30" s="4"/>
      <c r="W30" s="4">
        <f t="shared" si="1"/>
        <v>1866</v>
      </c>
      <c r="X30" s="4">
        <f t="shared" si="2"/>
        <v>3047.2499999999995</v>
      </c>
      <c r="Y30" s="4">
        <f t="shared" si="3"/>
        <v>1.633038585209003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M30" s="42" t="s">
        <v>64</v>
      </c>
      <c r="AN30" s="4" t="s">
        <v>45</v>
      </c>
      <c r="AO30" s="20">
        <v>230</v>
      </c>
      <c r="AP30" s="4">
        <v>3</v>
      </c>
      <c r="AQ30" s="20">
        <f t="shared" si="4"/>
        <v>690</v>
      </c>
      <c r="AR30" s="4"/>
      <c r="AS30" s="4"/>
    </row>
    <row r="31" spans="1:45" ht="41.25" customHeight="1" x14ac:dyDescent="0.2">
      <c r="A31" s="4">
        <v>28</v>
      </c>
      <c r="B31" s="10">
        <v>45866</v>
      </c>
      <c r="C31" s="4"/>
      <c r="D31" s="4"/>
      <c r="E31" s="4">
        <f t="shared" si="7"/>
        <v>93.5</v>
      </c>
      <c r="F31" s="4">
        <v>15</v>
      </c>
      <c r="G31" s="4"/>
      <c r="H31" s="4">
        <f t="shared" si="5"/>
        <v>5</v>
      </c>
      <c r="I31" s="4">
        <f t="shared" si="6"/>
        <v>78.5</v>
      </c>
      <c r="J31" s="11"/>
      <c r="K31" s="4"/>
      <c r="L31" s="4">
        <f t="shared" si="0"/>
        <v>416</v>
      </c>
      <c r="N31" s="4"/>
      <c r="O31" s="4"/>
      <c r="P31" s="4"/>
      <c r="Q31" s="4"/>
      <c r="R31" s="4"/>
      <c r="T31" s="14"/>
      <c r="U31" s="4"/>
      <c r="V31" s="4"/>
      <c r="W31" s="4">
        <f t="shared" si="1"/>
        <v>1866</v>
      </c>
      <c r="X31" s="4">
        <f t="shared" si="2"/>
        <v>3047.2499999999995</v>
      </c>
      <c r="Y31" s="4">
        <f t="shared" si="3"/>
        <v>1.633038585209003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M31" s="43"/>
      <c r="AN31" s="4" t="s">
        <v>46</v>
      </c>
      <c r="AO31" s="20">
        <v>160</v>
      </c>
      <c r="AP31" s="4">
        <v>3</v>
      </c>
      <c r="AQ31" s="20">
        <f t="shared" si="4"/>
        <v>480</v>
      </c>
      <c r="AR31" s="4"/>
      <c r="AS31" s="4"/>
    </row>
    <row r="32" spans="1:45" ht="41.25" customHeight="1" x14ac:dyDescent="0.2">
      <c r="A32" s="4">
        <v>29</v>
      </c>
      <c r="B32" s="10">
        <v>45867</v>
      </c>
      <c r="C32" s="4"/>
      <c r="D32" s="4"/>
      <c r="E32" s="4">
        <f t="shared" si="7"/>
        <v>93.5</v>
      </c>
      <c r="F32" s="4">
        <v>9.5</v>
      </c>
      <c r="G32" s="4"/>
      <c r="H32" s="4">
        <f t="shared" si="5"/>
        <v>5.5</v>
      </c>
      <c r="I32" s="4">
        <f t="shared" si="6"/>
        <v>84</v>
      </c>
      <c r="J32" s="11"/>
      <c r="K32" s="4">
        <v>1</v>
      </c>
      <c r="L32" s="4">
        <f t="shared" si="0"/>
        <v>417</v>
      </c>
      <c r="N32" s="4"/>
      <c r="O32" s="4"/>
      <c r="P32" s="4"/>
      <c r="Q32" s="4"/>
      <c r="R32" s="4"/>
      <c r="T32" s="14"/>
      <c r="U32" s="4"/>
      <c r="V32" s="4"/>
      <c r="W32" s="4">
        <f t="shared" si="1"/>
        <v>1866</v>
      </c>
      <c r="X32" s="4">
        <f t="shared" si="2"/>
        <v>3047.2499999999995</v>
      </c>
      <c r="Y32" s="4">
        <f t="shared" si="3"/>
        <v>1.633038585209003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M32" s="43"/>
      <c r="AN32" s="1" t="s">
        <v>48</v>
      </c>
      <c r="AO32" s="11">
        <v>80</v>
      </c>
      <c r="AP32" s="4">
        <v>3</v>
      </c>
      <c r="AQ32" s="11">
        <f t="shared" si="4"/>
        <v>240</v>
      </c>
      <c r="AR32" s="4"/>
      <c r="AS32" s="4"/>
    </row>
    <row r="33" spans="1:65" ht="41.25" customHeight="1" x14ac:dyDescent="0.2">
      <c r="A33" s="4">
        <v>30</v>
      </c>
      <c r="B33" s="10">
        <v>45868</v>
      </c>
      <c r="C33" s="4">
        <v>10</v>
      </c>
      <c r="D33" s="4"/>
      <c r="E33" s="4">
        <f t="shared" si="7"/>
        <v>103.5</v>
      </c>
      <c r="F33" s="4">
        <v>14</v>
      </c>
      <c r="G33" s="4"/>
      <c r="H33" s="4">
        <f t="shared" si="5"/>
        <v>5.5</v>
      </c>
      <c r="I33" s="4">
        <f t="shared" si="6"/>
        <v>89.5</v>
      </c>
      <c r="J33" s="11"/>
      <c r="K33" s="4">
        <v>1</v>
      </c>
      <c r="L33" s="4">
        <f t="shared" si="0"/>
        <v>418</v>
      </c>
      <c r="N33" s="4"/>
      <c r="O33" s="4"/>
      <c r="P33" s="4"/>
      <c r="Q33" s="4"/>
      <c r="R33" s="4"/>
      <c r="T33" s="14"/>
      <c r="U33" s="4"/>
      <c r="V33" s="4"/>
      <c r="W33" s="4">
        <f t="shared" si="1"/>
        <v>1866</v>
      </c>
      <c r="X33" s="4">
        <f t="shared" si="2"/>
        <v>3047.2499999999995</v>
      </c>
      <c r="Y33" s="4">
        <f t="shared" si="3"/>
        <v>1.633038585209003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M33" s="43"/>
      <c r="AN33" s="4" t="s">
        <v>54</v>
      </c>
      <c r="AO33" s="20">
        <v>90</v>
      </c>
      <c r="AP33" s="4">
        <v>3</v>
      </c>
      <c r="AQ33" s="20">
        <f t="shared" si="4"/>
        <v>270</v>
      </c>
      <c r="AR33" s="4"/>
      <c r="AS33" s="4"/>
    </row>
    <row r="34" spans="1:65" ht="41.25" customHeight="1" x14ac:dyDescent="0.2">
      <c r="A34" s="4">
        <v>31</v>
      </c>
      <c r="B34" s="10">
        <v>45869</v>
      </c>
      <c r="C34" s="4"/>
      <c r="D34" s="4"/>
      <c r="E34" s="4">
        <v>103.5</v>
      </c>
      <c r="F34" s="4">
        <v>8</v>
      </c>
      <c r="G34" s="4"/>
      <c r="H34" s="4">
        <f t="shared" si="5"/>
        <v>6</v>
      </c>
      <c r="I34" s="4">
        <f t="shared" si="6"/>
        <v>95.5</v>
      </c>
      <c r="J34" s="11"/>
      <c r="K34" s="4"/>
      <c r="L34" s="4">
        <f t="shared" si="0"/>
        <v>418</v>
      </c>
      <c r="N34" s="4"/>
      <c r="O34" s="4"/>
      <c r="P34" s="4"/>
      <c r="Q34" s="4"/>
      <c r="R34" s="4"/>
      <c r="T34" s="14"/>
      <c r="U34" s="4"/>
      <c r="V34" s="4"/>
      <c r="W34" s="4">
        <f t="shared" si="1"/>
        <v>1866</v>
      </c>
      <c r="X34" s="4">
        <f t="shared" si="2"/>
        <v>3047.2499999999995</v>
      </c>
      <c r="Y34" s="4">
        <f t="shared" si="3"/>
        <v>1.633038585209003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M34" s="43"/>
      <c r="AN34" s="4" t="s">
        <v>53</v>
      </c>
      <c r="AO34" s="11">
        <v>460</v>
      </c>
      <c r="AP34" s="4">
        <v>3</v>
      </c>
      <c r="AQ34" s="11">
        <f t="shared" si="4"/>
        <v>1380</v>
      </c>
      <c r="AR34" s="4"/>
      <c r="AS34" s="4"/>
    </row>
    <row r="35" spans="1:65" ht="41.25" customHeight="1" x14ac:dyDescent="0.2">
      <c r="A35" s="4">
        <v>32</v>
      </c>
      <c r="B35" s="10">
        <v>45870</v>
      </c>
      <c r="C35" s="4">
        <v>17</v>
      </c>
      <c r="D35" s="4">
        <v>7</v>
      </c>
      <c r="E35" s="4">
        <f>D35+E34+C35</f>
        <v>127.5</v>
      </c>
      <c r="F35" s="4">
        <v>19</v>
      </c>
      <c r="G35" s="4">
        <v>7</v>
      </c>
      <c r="H35" s="4">
        <f t="shared" si="5"/>
        <v>6</v>
      </c>
      <c r="I35" s="4">
        <f>E35-F35-G35</f>
        <v>101.5</v>
      </c>
      <c r="J35" s="11"/>
      <c r="K35" s="4">
        <v>1</v>
      </c>
      <c r="L35" s="4">
        <f t="shared" si="0"/>
        <v>419</v>
      </c>
      <c r="N35" s="4"/>
      <c r="O35" s="4"/>
      <c r="P35" s="4"/>
      <c r="Q35" s="4"/>
      <c r="R35" s="4"/>
      <c r="T35" s="14"/>
      <c r="U35" s="4"/>
      <c r="V35" s="4"/>
      <c r="W35" s="4">
        <f t="shared" si="1"/>
        <v>1866</v>
      </c>
      <c r="X35" s="4">
        <f t="shared" si="2"/>
        <v>3047.2499999999995</v>
      </c>
      <c r="Y35" s="4">
        <f t="shared" si="3"/>
        <v>1.633038585209003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M35" s="43">
        <v>21</v>
      </c>
      <c r="AN35" s="4" t="s">
        <v>61</v>
      </c>
      <c r="AO35" s="20">
        <v>80</v>
      </c>
      <c r="AP35" s="4">
        <v>1</v>
      </c>
      <c r="AQ35" s="20">
        <f t="shared" ref="AQ35:AQ43" si="8">AO35*AP35</f>
        <v>80</v>
      </c>
      <c r="AR35" s="4"/>
      <c r="AS35" s="4"/>
    </row>
    <row r="36" spans="1:65" ht="41.25" customHeight="1" x14ac:dyDescent="0.2">
      <c r="A36" s="4">
        <v>33</v>
      </c>
      <c r="B36" s="10">
        <v>45871</v>
      </c>
      <c r="C36" s="4"/>
      <c r="D36" s="4"/>
      <c r="E36" s="4">
        <f t="shared" ref="E36:E52" si="9">D36+E35+C36</f>
        <v>127.5</v>
      </c>
      <c r="F36" s="4">
        <v>16</v>
      </c>
      <c r="G36" s="4">
        <v>5</v>
      </c>
      <c r="H36" s="4">
        <f t="shared" si="5"/>
        <v>5</v>
      </c>
      <c r="I36" s="4">
        <f t="shared" ref="I36:I52" si="10">E36-F36-G36</f>
        <v>106.5</v>
      </c>
      <c r="J36" s="11"/>
      <c r="K36" s="4">
        <v>2</v>
      </c>
      <c r="L36" s="4">
        <f t="shared" si="0"/>
        <v>421</v>
      </c>
      <c r="N36" s="4"/>
      <c r="O36" s="4"/>
      <c r="P36" s="4"/>
      <c r="Q36" s="4"/>
      <c r="R36" s="4"/>
      <c r="T36" s="14"/>
      <c r="U36" s="4"/>
      <c r="V36" s="4"/>
      <c r="W36" s="4">
        <f t="shared" si="1"/>
        <v>1866</v>
      </c>
      <c r="X36" s="4">
        <f t="shared" si="2"/>
        <v>3047.2499999999995</v>
      </c>
      <c r="Y36" s="4">
        <f t="shared" si="3"/>
        <v>1.633038585209003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M36" s="43"/>
      <c r="AN36" s="4" t="s">
        <v>65</v>
      </c>
      <c r="AO36" s="11">
        <v>80</v>
      </c>
      <c r="AP36" s="4">
        <v>1</v>
      </c>
      <c r="AQ36" s="11">
        <f t="shared" si="8"/>
        <v>80</v>
      </c>
      <c r="AR36" s="4"/>
      <c r="AS36" s="4"/>
    </row>
    <row r="37" spans="1:65" ht="41.25" customHeight="1" x14ac:dyDescent="0.2">
      <c r="A37" s="4">
        <v>34</v>
      </c>
      <c r="B37" s="10">
        <v>45872</v>
      </c>
      <c r="C37" s="4"/>
      <c r="D37" s="4"/>
      <c r="E37" s="4">
        <f t="shared" si="9"/>
        <v>127.5</v>
      </c>
      <c r="F37" s="4">
        <v>9.5</v>
      </c>
      <c r="G37" s="4">
        <v>4</v>
      </c>
      <c r="H37" s="4">
        <f t="shared" si="5"/>
        <v>7.5</v>
      </c>
      <c r="I37" s="4">
        <f t="shared" si="10"/>
        <v>114</v>
      </c>
      <c r="J37" s="11"/>
      <c r="K37" s="4">
        <v>1</v>
      </c>
      <c r="L37" s="4">
        <f t="shared" si="0"/>
        <v>422</v>
      </c>
      <c r="N37" s="4"/>
      <c r="O37" s="4"/>
      <c r="P37" s="4"/>
      <c r="Q37" s="4"/>
      <c r="R37" s="4"/>
      <c r="T37" s="14"/>
      <c r="U37" s="4"/>
      <c r="V37" s="4"/>
      <c r="W37" s="4">
        <f t="shared" si="1"/>
        <v>1866</v>
      </c>
      <c r="X37" s="4">
        <f t="shared" si="2"/>
        <v>3047.2499999999995</v>
      </c>
      <c r="Y37" s="4">
        <f t="shared" si="3"/>
        <v>1.633038585209003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M37" s="43"/>
      <c r="AN37" s="4" t="s">
        <v>53</v>
      </c>
      <c r="AO37" s="11">
        <v>460</v>
      </c>
      <c r="AP37" s="4">
        <v>1</v>
      </c>
      <c r="AQ37" s="11">
        <f t="shared" si="8"/>
        <v>460</v>
      </c>
      <c r="AR37" s="4"/>
      <c r="AS37" s="4"/>
    </row>
    <row r="38" spans="1:65" ht="41.25" customHeight="1" x14ac:dyDescent="0.2">
      <c r="A38" s="4">
        <v>35</v>
      </c>
      <c r="B38" s="10">
        <v>45873</v>
      </c>
      <c r="C38" s="4"/>
      <c r="D38" s="4"/>
      <c r="E38" s="4">
        <f t="shared" si="9"/>
        <v>127.5</v>
      </c>
      <c r="F38" s="4">
        <v>7</v>
      </c>
      <c r="G38" s="4">
        <v>2</v>
      </c>
      <c r="H38" s="4">
        <f t="shared" si="5"/>
        <v>4.5</v>
      </c>
      <c r="I38" s="4">
        <f t="shared" si="10"/>
        <v>118.5</v>
      </c>
      <c r="J38" s="11"/>
      <c r="K38" s="4">
        <v>3</v>
      </c>
      <c r="L38" s="4">
        <f t="shared" si="0"/>
        <v>425</v>
      </c>
      <c r="N38" s="4"/>
      <c r="O38" s="4"/>
      <c r="P38" s="4"/>
      <c r="Q38" s="4"/>
      <c r="R38" s="4"/>
      <c r="T38" s="14"/>
      <c r="U38" s="4"/>
      <c r="V38" s="4"/>
      <c r="W38" s="4">
        <f t="shared" si="1"/>
        <v>1866</v>
      </c>
      <c r="X38" s="4">
        <f t="shared" si="2"/>
        <v>3047.2499999999995</v>
      </c>
      <c r="Y38" s="4">
        <f t="shared" si="3"/>
        <v>1.633038585209003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M38" s="43"/>
      <c r="AN38" s="1" t="s">
        <v>66</v>
      </c>
      <c r="AO38" s="11">
        <v>400</v>
      </c>
      <c r="AP38" s="1">
        <v>1</v>
      </c>
      <c r="AQ38" s="11">
        <f t="shared" si="8"/>
        <v>400</v>
      </c>
      <c r="AR38" s="4"/>
      <c r="AS38" s="4"/>
      <c r="BK38" s="11"/>
      <c r="BL38" s="1">
        <v>1</v>
      </c>
      <c r="BM38" s="11"/>
    </row>
    <row r="39" spans="1:65" ht="41.25" customHeight="1" x14ac:dyDescent="0.2">
      <c r="A39" s="4">
        <v>36</v>
      </c>
      <c r="B39" s="10">
        <v>45874</v>
      </c>
      <c r="C39" s="4">
        <v>10</v>
      </c>
      <c r="D39" s="4"/>
      <c r="E39" s="4">
        <f t="shared" si="9"/>
        <v>137.5</v>
      </c>
      <c r="F39" s="4">
        <v>11</v>
      </c>
      <c r="G39" s="4">
        <v>1</v>
      </c>
      <c r="H39" s="4">
        <f t="shared" si="5"/>
        <v>7</v>
      </c>
      <c r="I39" s="4">
        <f t="shared" si="10"/>
        <v>125.5</v>
      </c>
      <c r="J39" s="11"/>
      <c r="K39" s="4">
        <v>5</v>
      </c>
      <c r="L39" s="4">
        <f t="shared" si="0"/>
        <v>430</v>
      </c>
      <c r="N39" s="4"/>
      <c r="O39" s="4"/>
      <c r="P39" s="4"/>
      <c r="Q39" s="4"/>
      <c r="R39" s="4"/>
      <c r="T39" s="14"/>
      <c r="U39" s="4"/>
      <c r="V39" s="4"/>
      <c r="W39" s="4">
        <f t="shared" si="1"/>
        <v>1866</v>
      </c>
      <c r="X39" s="4">
        <f t="shared" si="2"/>
        <v>3047.2499999999995</v>
      </c>
      <c r="Y39" s="4">
        <f t="shared" si="3"/>
        <v>1.633038585209003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M39" s="43" t="s">
        <v>68</v>
      </c>
      <c r="AN39" s="4" t="s">
        <v>67</v>
      </c>
      <c r="AO39" s="21">
        <v>1.5</v>
      </c>
      <c r="AP39" s="4">
        <v>3</v>
      </c>
      <c r="AQ39" s="21">
        <f t="shared" si="8"/>
        <v>4.5</v>
      </c>
      <c r="AR39" s="4"/>
      <c r="AS39" s="4"/>
    </row>
    <row r="40" spans="1:65" ht="41.25" customHeight="1" x14ac:dyDescent="0.2">
      <c r="A40" s="4">
        <v>37</v>
      </c>
      <c r="B40" s="10">
        <v>45875</v>
      </c>
      <c r="C40" s="4"/>
      <c r="D40" s="4"/>
      <c r="E40" s="4">
        <f t="shared" si="9"/>
        <v>137.5</v>
      </c>
      <c r="F40" s="4">
        <v>5</v>
      </c>
      <c r="G40" s="4"/>
      <c r="H40" s="4">
        <f t="shared" si="5"/>
        <v>7</v>
      </c>
      <c r="I40" s="4">
        <f t="shared" si="10"/>
        <v>132.5</v>
      </c>
      <c r="J40" s="11"/>
      <c r="K40" s="4"/>
      <c r="L40" s="4">
        <f t="shared" si="0"/>
        <v>430</v>
      </c>
      <c r="N40" s="4"/>
      <c r="O40" s="4"/>
      <c r="P40" s="4"/>
      <c r="Q40" s="4"/>
      <c r="R40" s="4"/>
      <c r="T40" s="14"/>
      <c r="U40" s="4"/>
      <c r="V40" s="4"/>
      <c r="W40" s="4">
        <f t="shared" si="1"/>
        <v>1866</v>
      </c>
      <c r="X40" s="4">
        <f t="shared" si="2"/>
        <v>3047.2499999999995</v>
      </c>
      <c r="Y40" s="4">
        <f t="shared" si="3"/>
        <v>1.633038585209003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M40" s="43"/>
      <c r="AN40" s="4" t="s">
        <v>48</v>
      </c>
      <c r="AO40" s="11">
        <v>60</v>
      </c>
      <c r="AP40" s="4">
        <v>3</v>
      </c>
      <c r="AQ40" s="11">
        <f t="shared" si="8"/>
        <v>180</v>
      </c>
      <c r="AR40" s="4"/>
      <c r="AS40" s="4"/>
    </row>
    <row r="41" spans="1:65" ht="41.25" customHeight="1" x14ac:dyDescent="0.2">
      <c r="A41" s="4">
        <v>38</v>
      </c>
      <c r="B41" s="10">
        <v>45876</v>
      </c>
      <c r="C41" s="4">
        <v>10</v>
      </c>
      <c r="D41" s="4">
        <v>2</v>
      </c>
      <c r="E41" s="4">
        <f t="shared" si="9"/>
        <v>149.5</v>
      </c>
      <c r="F41" s="4">
        <v>10</v>
      </c>
      <c r="G41" s="4">
        <v>2</v>
      </c>
      <c r="H41" s="4">
        <f t="shared" si="5"/>
        <v>5</v>
      </c>
      <c r="I41" s="4">
        <f t="shared" si="10"/>
        <v>137.5</v>
      </c>
      <c r="J41" s="11"/>
      <c r="K41" s="4">
        <v>1</v>
      </c>
      <c r="L41" s="4">
        <f t="shared" si="0"/>
        <v>431</v>
      </c>
      <c r="N41" s="4"/>
      <c r="O41" s="4"/>
      <c r="P41" s="4"/>
      <c r="Q41" s="4"/>
      <c r="R41" s="4"/>
      <c r="T41" s="14"/>
      <c r="U41" s="4"/>
      <c r="V41" s="4"/>
      <c r="W41" s="4">
        <f t="shared" si="1"/>
        <v>1866</v>
      </c>
      <c r="X41" s="4">
        <f t="shared" si="2"/>
        <v>3047.2499999999995</v>
      </c>
      <c r="Y41" s="4">
        <f t="shared" si="3"/>
        <v>1.633038585209003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M41" s="43"/>
      <c r="AN41" s="4" t="s">
        <v>54</v>
      </c>
      <c r="AO41" s="20">
        <v>160</v>
      </c>
      <c r="AP41" s="4">
        <v>3</v>
      </c>
      <c r="AQ41" s="20">
        <f t="shared" si="8"/>
        <v>480</v>
      </c>
      <c r="AR41" s="4"/>
      <c r="AS41" s="4"/>
    </row>
    <row r="42" spans="1:65" ht="41.25" customHeight="1" x14ac:dyDescent="0.2">
      <c r="A42" s="4">
        <v>39</v>
      </c>
      <c r="B42" s="10">
        <v>45877</v>
      </c>
      <c r="C42" s="4"/>
      <c r="D42" s="4"/>
      <c r="E42" s="4">
        <f t="shared" si="9"/>
        <v>149.5</v>
      </c>
      <c r="F42" s="4">
        <v>6</v>
      </c>
      <c r="G42" s="4">
        <v>1</v>
      </c>
      <c r="H42" s="4">
        <f t="shared" si="5"/>
        <v>5</v>
      </c>
      <c r="I42" s="4">
        <f t="shared" si="10"/>
        <v>142.5</v>
      </c>
      <c r="J42" s="11"/>
      <c r="K42" s="4">
        <v>5</v>
      </c>
      <c r="L42" s="4">
        <f t="shared" si="0"/>
        <v>436</v>
      </c>
      <c r="N42" s="4"/>
      <c r="O42" s="4"/>
      <c r="P42" s="4"/>
      <c r="Q42" s="4"/>
      <c r="R42" s="4"/>
      <c r="T42" s="14"/>
      <c r="U42" s="4"/>
      <c r="V42" s="4"/>
      <c r="W42" s="4">
        <f t="shared" si="1"/>
        <v>1866</v>
      </c>
      <c r="X42" s="4">
        <f t="shared" si="2"/>
        <v>3047.2499999999995</v>
      </c>
      <c r="Y42" s="4">
        <f t="shared" si="3"/>
        <v>1.633038585209003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M42" s="44"/>
      <c r="AN42" s="4" t="s">
        <v>66</v>
      </c>
      <c r="AO42" s="11">
        <v>400</v>
      </c>
      <c r="AP42" s="4">
        <v>3</v>
      </c>
      <c r="AQ42" s="11">
        <f t="shared" si="8"/>
        <v>1200</v>
      </c>
      <c r="AR42" s="4"/>
      <c r="AS42" s="4"/>
    </row>
    <row r="43" spans="1:65" ht="41.25" customHeight="1" x14ac:dyDescent="0.2">
      <c r="A43" s="4">
        <v>40</v>
      </c>
      <c r="B43" s="10">
        <v>45878</v>
      </c>
      <c r="C43" s="4">
        <v>5</v>
      </c>
      <c r="D43" s="4">
        <v>2</v>
      </c>
      <c r="E43" s="4">
        <f t="shared" si="9"/>
        <v>156.5</v>
      </c>
      <c r="F43" s="4">
        <v>7</v>
      </c>
      <c r="G43" s="4">
        <v>2</v>
      </c>
      <c r="H43" s="4">
        <f t="shared" si="5"/>
        <v>5</v>
      </c>
      <c r="I43" s="4">
        <f t="shared" si="10"/>
        <v>147.5</v>
      </c>
      <c r="J43" s="11"/>
      <c r="K43" s="4">
        <v>3</v>
      </c>
      <c r="L43" s="4">
        <f t="shared" si="0"/>
        <v>439</v>
      </c>
      <c r="N43" s="4"/>
      <c r="O43" s="4"/>
      <c r="P43" s="4"/>
      <c r="Q43" s="4"/>
      <c r="R43" s="4"/>
      <c r="T43" s="14"/>
      <c r="U43" s="4"/>
      <c r="V43" s="4"/>
      <c r="W43" s="4">
        <f t="shared" si="1"/>
        <v>1866</v>
      </c>
      <c r="X43" s="4">
        <f t="shared" si="2"/>
        <v>3047.2499999999995</v>
      </c>
      <c r="Y43" s="4">
        <f t="shared" si="3"/>
        <v>1.633038585209003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M43" s="4">
        <v>25</v>
      </c>
      <c r="AN43" s="1" t="s">
        <v>69</v>
      </c>
      <c r="AO43" s="1">
        <v>2</v>
      </c>
      <c r="AP43" s="1">
        <v>1</v>
      </c>
      <c r="AQ43" s="1">
        <f t="shared" si="8"/>
        <v>2</v>
      </c>
      <c r="AR43" s="4"/>
      <c r="AS43" s="4"/>
    </row>
    <row r="44" spans="1:65" ht="41.25" customHeight="1" x14ac:dyDescent="0.2">
      <c r="A44" s="4">
        <v>41</v>
      </c>
      <c r="B44" s="10">
        <v>45879</v>
      </c>
      <c r="C44" s="4"/>
      <c r="D44" s="4"/>
      <c r="E44" s="4">
        <f t="shared" si="9"/>
        <v>156.5</v>
      </c>
      <c r="F44" s="4">
        <v>6</v>
      </c>
      <c r="G44" s="4">
        <v>1</v>
      </c>
      <c r="H44" s="4">
        <f t="shared" si="5"/>
        <v>2</v>
      </c>
      <c r="I44" s="4">
        <f t="shared" si="10"/>
        <v>149.5</v>
      </c>
      <c r="J44" s="11"/>
      <c r="K44" s="4"/>
      <c r="L44" s="4">
        <f t="shared" si="0"/>
        <v>439</v>
      </c>
      <c r="N44" s="4"/>
      <c r="O44" s="4"/>
      <c r="P44" s="4"/>
      <c r="Q44" s="4"/>
      <c r="R44" s="4"/>
      <c r="T44" s="14"/>
      <c r="U44" s="4"/>
      <c r="V44" s="4"/>
      <c r="W44" s="4">
        <f t="shared" si="1"/>
        <v>1866</v>
      </c>
      <c r="X44" s="4">
        <f t="shared" si="2"/>
        <v>3047.2499999999995</v>
      </c>
      <c r="Y44" s="4">
        <f t="shared" si="3"/>
        <v>1.633038585209003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M44" s="4" t="s">
        <v>71</v>
      </c>
      <c r="AN44" s="4" t="s">
        <v>70</v>
      </c>
      <c r="AO44" s="20">
        <v>230</v>
      </c>
      <c r="AP44" s="4">
        <v>3</v>
      </c>
      <c r="AQ44" s="20">
        <f t="shared" si="4"/>
        <v>690</v>
      </c>
      <c r="AR44" s="4"/>
      <c r="AS44" s="4"/>
    </row>
    <row r="45" spans="1:65" ht="41.25" customHeight="1" x14ac:dyDescent="0.2">
      <c r="A45" s="4">
        <v>42</v>
      </c>
      <c r="B45" s="10">
        <v>45880</v>
      </c>
      <c r="C45" s="4">
        <v>10</v>
      </c>
      <c r="D45" s="4"/>
      <c r="E45" s="4">
        <f t="shared" si="9"/>
        <v>166.5</v>
      </c>
      <c r="F45" s="4">
        <v>11.5</v>
      </c>
      <c r="G45" s="4">
        <v>1</v>
      </c>
      <c r="H45" s="4">
        <f t="shared" si="5"/>
        <v>4.5</v>
      </c>
      <c r="I45" s="4">
        <f t="shared" si="10"/>
        <v>154</v>
      </c>
      <c r="J45" s="11"/>
      <c r="K45" s="4">
        <v>1</v>
      </c>
      <c r="L45" s="4">
        <f t="shared" si="0"/>
        <v>440</v>
      </c>
      <c r="N45" s="4"/>
      <c r="O45" s="4"/>
      <c r="P45" s="4"/>
      <c r="Q45" s="4"/>
      <c r="R45" s="4"/>
      <c r="T45" s="14"/>
      <c r="U45" s="4"/>
      <c r="V45" s="4"/>
      <c r="W45" s="4">
        <f t="shared" si="1"/>
        <v>1866</v>
      </c>
      <c r="X45" s="4">
        <f t="shared" si="2"/>
        <v>3047.2499999999995</v>
      </c>
      <c r="Y45" s="4">
        <f t="shared" si="3"/>
        <v>1.633038585209003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M45" s="4" t="s">
        <v>73</v>
      </c>
      <c r="AN45" s="4" t="s">
        <v>72</v>
      </c>
      <c r="AO45" s="20">
        <v>150</v>
      </c>
      <c r="AP45" s="4">
        <v>3</v>
      </c>
      <c r="AQ45" s="20">
        <f t="shared" si="4"/>
        <v>450</v>
      </c>
      <c r="AR45" s="4"/>
      <c r="AS45" s="4"/>
    </row>
    <row r="46" spans="1:65" ht="41.25" customHeight="1" x14ac:dyDescent="0.2">
      <c r="A46" s="4">
        <v>43</v>
      </c>
      <c r="B46" s="10">
        <v>45881</v>
      </c>
      <c r="C46" s="4"/>
      <c r="D46" s="4"/>
      <c r="E46" s="4">
        <f t="shared" si="9"/>
        <v>166.5</v>
      </c>
      <c r="F46" s="4">
        <v>8.5</v>
      </c>
      <c r="G46" s="4">
        <v>1</v>
      </c>
      <c r="H46" s="4">
        <f t="shared" si="5"/>
        <v>3</v>
      </c>
      <c r="I46" s="4">
        <f t="shared" si="10"/>
        <v>157</v>
      </c>
      <c r="J46" s="11"/>
      <c r="K46" s="4">
        <v>4</v>
      </c>
      <c r="L46" s="4">
        <f t="shared" si="0"/>
        <v>444</v>
      </c>
      <c r="N46" s="4"/>
      <c r="O46" s="4"/>
      <c r="P46" s="4"/>
      <c r="Q46" s="4"/>
      <c r="R46" s="4"/>
      <c r="T46" s="14"/>
      <c r="U46" s="4"/>
      <c r="V46" s="4"/>
      <c r="W46" s="4">
        <f t="shared" si="1"/>
        <v>1866</v>
      </c>
      <c r="X46" s="4">
        <f t="shared" si="2"/>
        <v>3047.2499999999995</v>
      </c>
      <c r="Y46" s="4">
        <f t="shared" si="3"/>
        <v>1.633038585209003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M46" s="4" t="s">
        <v>74</v>
      </c>
      <c r="AN46" s="4" t="s">
        <v>67</v>
      </c>
      <c r="AO46" s="21">
        <v>2.5</v>
      </c>
      <c r="AP46" s="4">
        <v>3</v>
      </c>
      <c r="AQ46" s="21">
        <f t="shared" si="4"/>
        <v>7.5</v>
      </c>
      <c r="AR46" s="4"/>
      <c r="AS46" s="4"/>
    </row>
    <row r="47" spans="1:65" ht="41.25" customHeight="1" x14ac:dyDescent="0.2">
      <c r="A47" s="4">
        <v>44</v>
      </c>
      <c r="B47" s="10">
        <v>45882</v>
      </c>
      <c r="C47" s="4"/>
      <c r="D47" s="4"/>
      <c r="E47" s="4">
        <f t="shared" si="9"/>
        <v>166.5</v>
      </c>
      <c r="F47" s="4">
        <v>5</v>
      </c>
      <c r="G47" s="4">
        <v>1</v>
      </c>
      <c r="H47" s="4">
        <f t="shared" si="5"/>
        <v>3.5</v>
      </c>
      <c r="I47" s="4">
        <f t="shared" si="10"/>
        <v>160.5</v>
      </c>
      <c r="J47" s="11"/>
      <c r="K47" s="4"/>
      <c r="L47" s="4">
        <f t="shared" si="0"/>
        <v>444</v>
      </c>
      <c r="N47" s="4"/>
      <c r="O47" s="4"/>
      <c r="P47" s="4"/>
      <c r="Q47" s="4"/>
      <c r="R47" s="4"/>
      <c r="T47" s="14"/>
      <c r="U47" s="4"/>
      <c r="V47" s="4"/>
      <c r="W47" s="4">
        <f t="shared" si="1"/>
        <v>1866</v>
      </c>
      <c r="X47" s="4">
        <f t="shared" si="2"/>
        <v>3047.2499999999995</v>
      </c>
      <c r="Y47" s="4">
        <f t="shared" si="3"/>
        <v>1.633038585209003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M47" s="4"/>
      <c r="AN47" s="4"/>
      <c r="AO47" s="4"/>
      <c r="AP47" s="4"/>
      <c r="AQ47" s="4">
        <f t="shared" si="4"/>
        <v>0</v>
      </c>
      <c r="AR47" s="4"/>
      <c r="AS47" s="4"/>
    </row>
    <row r="48" spans="1:65" ht="41.25" customHeight="1" x14ac:dyDescent="0.2">
      <c r="A48" s="4">
        <v>45</v>
      </c>
      <c r="B48" s="10">
        <v>45883</v>
      </c>
      <c r="C48" s="4"/>
      <c r="D48" s="4"/>
      <c r="E48" s="4">
        <f t="shared" si="9"/>
        <v>166.5</v>
      </c>
      <c r="F48" s="4">
        <v>2</v>
      </c>
      <c r="G48" s="4">
        <v>1</v>
      </c>
      <c r="H48" s="4">
        <f t="shared" si="5"/>
        <v>3</v>
      </c>
      <c r="I48" s="4">
        <f t="shared" si="10"/>
        <v>163.5</v>
      </c>
      <c r="J48" s="11"/>
      <c r="K48" s="4"/>
      <c r="L48" s="4">
        <f t="shared" si="0"/>
        <v>444</v>
      </c>
      <c r="N48" s="4"/>
      <c r="O48" s="4"/>
      <c r="P48" s="4"/>
      <c r="Q48" s="4"/>
      <c r="R48" s="4"/>
      <c r="T48" s="14"/>
      <c r="U48" s="4"/>
      <c r="V48" s="4"/>
      <c r="W48" s="4">
        <f t="shared" si="1"/>
        <v>1866</v>
      </c>
      <c r="X48" s="4">
        <f t="shared" si="2"/>
        <v>3047.2499999999995</v>
      </c>
      <c r="Y48" s="4">
        <f t="shared" si="3"/>
        <v>1.633038585209003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M48" s="4"/>
      <c r="AN48" s="4"/>
      <c r="AO48" s="4"/>
      <c r="AP48" s="4"/>
      <c r="AQ48" s="4">
        <f t="shared" si="4"/>
        <v>0</v>
      </c>
      <c r="AR48" s="4"/>
      <c r="AS48" s="4"/>
    </row>
    <row r="49" spans="1:45" ht="41.25" customHeight="1" x14ac:dyDescent="0.2">
      <c r="A49" s="4">
        <v>46</v>
      </c>
      <c r="B49" s="10">
        <v>45884</v>
      </c>
      <c r="C49" s="4">
        <v>5</v>
      </c>
      <c r="D49" s="4"/>
      <c r="E49" s="4">
        <f t="shared" si="9"/>
        <v>171.5</v>
      </c>
      <c r="F49" s="4">
        <v>5</v>
      </c>
      <c r="G49" s="4"/>
      <c r="H49" s="4">
        <f t="shared" si="5"/>
        <v>3</v>
      </c>
      <c r="I49" s="4">
        <f t="shared" si="10"/>
        <v>166.5</v>
      </c>
      <c r="J49" s="11"/>
      <c r="K49" s="4"/>
      <c r="L49" s="4">
        <f t="shared" si="0"/>
        <v>444</v>
      </c>
      <c r="N49" s="4"/>
      <c r="O49" s="4"/>
      <c r="P49" s="4"/>
      <c r="Q49" s="4"/>
      <c r="R49" s="4"/>
      <c r="T49" s="14"/>
      <c r="U49" s="4"/>
      <c r="V49" s="4"/>
      <c r="W49" s="4">
        <f t="shared" si="1"/>
        <v>1866</v>
      </c>
      <c r="X49" s="4">
        <f t="shared" si="2"/>
        <v>3047.2499999999995</v>
      </c>
      <c r="Y49" s="4">
        <f t="shared" si="3"/>
        <v>1.633038585209003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M49" s="4"/>
      <c r="AN49" s="4"/>
      <c r="AO49" s="4"/>
      <c r="AP49" s="4"/>
      <c r="AQ49" s="4">
        <f t="shared" si="4"/>
        <v>0</v>
      </c>
      <c r="AR49" s="4"/>
      <c r="AS49" s="4"/>
    </row>
    <row r="50" spans="1:45" ht="41.25" customHeight="1" x14ac:dyDescent="0.2">
      <c r="A50" s="4">
        <v>47</v>
      </c>
      <c r="B50" s="10">
        <v>45885</v>
      </c>
      <c r="C50" s="4"/>
      <c r="D50" s="4"/>
      <c r="E50" s="4">
        <f t="shared" si="9"/>
        <v>171.5</v>
      </c>
      <c r="F50" s="4">
        <v>3</v>
      </c>
      <c r="G50" s="4"/>
      <c r="H50" s="4">
        <f t="shared" si="5"/>
        <v>2</v>
      </c>
      <c r="I50" s="4">
        <f t="shared" si="10"/>
        <v>168.5</v>
      </c>
      <c r="J50" s="11"/>
      <c r="K50" s="4">
        <v>2</v>
      </c>
      <c r="L50" s="4">
        <f t="shared" si="0"/>
        <v>446</v>
      </c>
      <c r="N50" s="4"/>
      <c r="O50" s="4"/>
      <c r="P50" s="4"/>
      <c r="Q50" s="4"/>
      <c r="R50" s="4"/>
      <c r="T50" s="14"/>
      <c r="U50" s="4"/>
      <c r="V50" s="4"/>
      <c r="W50" s="4">
        <f t="shared" si="1"/>
        <v>1866</v>
      </c>
      <c r="X50" s="4">
        <f t="shared" si="2"/>
        <v>3047.2499999999995</v>
      </c>
      <c r="Y50" s="4">
        <f t="shared" si="3"/>
        <v>1.633038585209003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M50" s="4"/>
      <c r="AN50" s="4"/>
      <c r="AO50" s="4"/>
      <c r="AP50" s="4"/>
      <c r="AQ50" s="4">
        <f t="shared" si="4"/>
        <v>0</v>
      </c>
      <c r="AR50" s="4"/>
      <c r="AS50" s="4"/>
    </row>
    <row r="51" spans="1:45" ht="41.25" customHeight="1" x14ac:dyDescent="0.2">
      <c r="A51" s="4">
        <v>48</v>
      </c>
      <c r="B51" s="10">
        <v>45886</v>
      </c>
      <c r="C51" s="4"/>
      <c r="D51" s="4"/>
      <c r="E51" s="4">
        <f t="shared" si="9"/>
        <v>171.5</v>
      </c>
      <c r="F51" s="4">
        <v>2</v>
      </c>
      <c r="G51" s="4"/>
      <c r="H51" s="4">
        <f t="shared" si="5"/>
        <v>1</v>
      </c>
      <c r="I51" s="4">
        <f t="shared" si="10"/>
        <v>169.5</v>
      </c>
      <c r="J51" s="11"/>
      <c r="K51" s="4">
        <v>1</v>
      </c>
      <c r="L51" s="4">
        <f t="shared" si="0"/>
        <v>447</v>
      </c>
      <c r="N51" s="4"/>
      <c r="O51" s="4"/>
      <c r="P51" s="4"/>
      <c r="Q51" s="4"/>
      <c r="R51" s="4"/>
      <c r="T51" s="14"/>
      <c r="U51" s="4"/>
      <c r="V51" s="4"/>
      <c r="W51" s="4">
        <f t="shared" si="1"/>
        <v>1866</v>
      </c>
      <c r="X51" s="4">
        <f t="shared" si="2"/>
        <v>3047.2499999999995</v>
      </c>
      <c r="Y51" s="4">
        <f t="shared" si="3"/>
        <v>1.633038585209003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M51" s="4"/>
      <c r="AN51" s="4"/>
      <c r="AO51" s="4"/>
      <c r="AP51" s="4"/>
      <c r="AQ51" s="4">
        <f t="shared" si="4"/>
        <v>0</v>
      </c>
      <c r="AR51" s="4"/>
      <c r="AS51" s="4"/>
    </row>
    <row r="52" spans="1:45" ht="41.25" customHeight="1" x14ac:dyDescent="0.2">
      <c r="A52" s="4">
        <v>49</v>
      </c>
      <c r="B52" s="10">
        <v>45887</v>
      </c>
      <c r="C52" s="4"/>
      <c r="D52" s="4"/>
      <c r="E52" s="4">
        <f t="shared" si="9"/>
        <v>171.5</v>
      </c>
      <c r="F52" s="4"/>
      <c r="G52" s="4"/>
      <c r="H52" s="4">
        <f>I52-I51</f>
        <v>2</v>
      </c>
      <c r="I52" s="4">
        <f t="shared" si="10"/>
        <v>171.5</v>
      </c>
      <c r="J52" s="11"/>
      <c r="K52" s="4"/>
      <c r="L52" s="4">
        <f t="shared" si="0"/>
        <v>447</v>
      </c>
      <c r="N52" s="4"/>
      <c r="O52" s="4"/>
      <c r="P52" s="4"/>
      <c r="Q52" s="4"/>
      <c r="R52" s="4"/>
      <c r="T52" s="14"/>
      <c r="U52" s="4"/>
      <c r="V52" s="4"/>
      <c r="W52" s="4">
        <f t="shared" si="1"/>
        <v>1866</v>
      </c>
      <c r="X52" s="4">
        <f t="shared" si="2"/>
        <v>3047.2499999999995</v>
      </c>
      <c r="Y52" s="4">
        <f t="shared" si="3"/>
        <v>1.633038585209003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M52" s="4"/>
      <c r="AN52" s="4"/>
      <c r="AO52" s="4"/>
      <c r="AP52" s="4"/>
      <c r="AQ52" s="4">
        <f t="shared" si="4"/>
        <v>0</v>
      </c>
      <c r="AR52" s="4"/>
      <c r="AS52" s="4"/>
    </row>
    <row r="53" spans="1:45" ht="41.25" customHeight="1" x14ac:dyDescent="0.2">
      <c r="A53" s="4">
        <v>50</v>
      </c>
      <c r="B53" s="10">
        <v>45888</v>
      </c>
      <c r="C53" s="4"/>
      <c r="D53" s="4"/>
      <c r="E53" s="4">
        <f>D53+E52+C53</f>
        <v>171.5</v>
      </c>
      <c r="F53" s="4"/>
      <c r="G53" s="4"/>
      <c r="H53" s="4">
        <f>I53-I52</f>
        <v>0</v>
      </c>
      <c r="I53" s="4">
        <f>E53-F53-G53</f>
        <v>171.5</v>
      </c>
      <c r="J53" s="11"/>
      <c r="K53" s="4"/>
      <c r="L53" s="4">
        <f t="shared" si="0"/>
        <v>447</v>
      </c>
      <c r="N53" s="4"/>
      <c r="O53" s="4"/>
      <c r="P53" s="4"/>
      <c r="Q53" s="4"/>
      <c r="R53" s="4"/>
      <c r="T53" s="14"/>
      <c r="U53" s="4"/>
      <c r="V53" s="4"/>
      <c r="W53" s="4">
        <f t="shared" si="1"/>
        <v>1866</v>
      </c>
      <c r="X53" s="4">
        <f t="shared" si="2"/>
        <v>3047.2499999999995</v>
      </c>
      <c r="Y53" s="4">
        <f t="shared" si="3"/>
        <v>1.633038585209003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M53" s="4"/>
      <c r="AN53" s="4"/>
      <c r="AO53" s="4"/>
      <c r="AP53" s="4"/>
      <c r="AQ53" s="4">
        <f t="shared" si="4"/>
        <v>0</v>
      </c>
      <c r="AR53" s="4"/>
      <c r="AS53" s="4"/>
    </row>
    <row r="54" spans="1:45" ht="41.25" customHeight="1" x14ac:dyDescent="0.2">
      <c r="AM54" s="4"/>
      <c r="AN54" s="4"/>
      <c r="AO54" s="4"/>
      <c r="AP54" s="4"/>
      <c r="AQ54" s="4">
        <f t="shared" si="4"/>
        <v>0</v>
      </c>
      <c r="AR54" s="4"/>
      <c r="AS54" s="4"/>
    </row>
    <row r="55" spans="1:45" ht="41.25" customHeight="1" x14ac:dyDescent="0.2">
      <c r="AM55" s="4"/>
      <c r="AN55" s="4"/>
      <c r="AO55" s="4"/>
      <c r="AP55" s="4"/>
      <c r="AQ55" s="4">
        <f t="shared" si="4"/>
        <v>0</v>
      </c>
      <c r="AR55" s="4"/>
      <c r="AS55" s="4"/>
    </row>
    <row r="56" spans="1:45" ht="41.25" customHeight="1" x14ac:dyDescent="0.2">
      <c r="AM56" s="4"/>
      <c r="AN56" s="4"/>
      <c r="AO56" s="4"/>
      <c r="AP56" s="4"/>
      <c r="AQ56" s="4">
        <f t="shared" si="4"/>
        <v>0</v>
      </c>
      <c r="AR56" s="4"/>
      <c r="AS56" s="4"/>
    </row>
    <row r="57" spans="1:45" ht="41.25" customHeight="1" x14ac:dyDescent="0.2">
      <c r="AM57" s="4"/>
      <c r="AN57" s="4"/>
      <c r="AO57" s="4"/>
      <c r="AP57" s="4"/>
      <c r="AQ57" s="4">
        <f t="shared" si="4"/>
        <v>0</v>
      </c>
      <c r="AR57" s="4"/>
      <c r="AS57" s="4"/>
    </row>
    <row r="58" spans="1:45" ht="41.25" customHeight="1" x14ac:dyDescent="0.2">
      <c r="AM58" s="4"/>
      <c r="AN58" s="4"/>
      <c r="AO58" s="4"/>
      <c r="AP58" s="4"/>
      <c r="AQ58" s="4">
        <f t="shared" si="4"/>
        <v>0</v>
      </c>
      <c r="AR58" s="4"/>
      <c r="AS58" s="4"/>
    </row>
    <row r="59" spans="1:45" ht="41.25" customHeight="1" x14ac:dyDescent="0.2">
      <c r="AM59" s="4"/>
      <c r="AN59" s="4"/>
      <c r="AO59" s="4"/>
      <c r="AP59" s="4"/>
      <c r="AQ59" s="4">
        <f t="shared" si="4"/>
        <v>0</v>
      </c>
      <c r="AR59" s="4"/>
      <c r="AS59" s="4"/>
    </row>
    <row r="60" spans="1:45" ht="41.25" customHeight="1" x14ac:dyDescent="0.2">
      <c r="AM60" s="4"/>
      <c r="AN60" s="4"/>
      <c r="AO60" s="4"/>
      <c r="AP60" s="4"/>
      <c r="AQ60" s="4">
        <f t="shared" si="4"/>
        <v>0</v>
      </c>
      <c r="AR60" s="4"/>
      <c r="AS60" s="4"/>
    </row>
    <row r="61" spans="1:45" ht="41.25" customHeight="1" x14ac:dyDescent="0.2">
      <c r="AM61" s="4"/>
      <c r="AN61" s="4"/>
      <c r="AO61" s="4"/>
      <c r="AP61" s="4"/>
      <c r="AQ61" s="4">
        <f t="shared" si="4"/>
        <v>0</v>
      </c>
      <c r="AR61" s="4"/>
      <c r="AS61" s="4"/>
    </row>
    <row r="62" spans="1:45" ht="41.25" customHeight="1" x14ac:dyDescent="0.2">
      <c r="AM62" s="4"/>
      <c r="AN62" s="4"/>
      <c r="AO62" s="4"/>
      <c r="AP62" s="4"/>
      <c r="AQ62" s="4">
        <f t="shared" si="4"/>
        <v>0</v>
      </c>
      <c r="AR62" s="4"/>
      <c r="AS62" s="4"/>
    </row>
    <row r="63" spans="1:45" ht="41.25" customHeight="1" x14ac:dyDescent="0.2">
      <c r="AM63" s="4"/>
      <c r="AN63" s="4"/>
      <c r="AO63" s="4"/>
      <c r="AP63" s="4"/>
      <c r="AQ63" s="4">
        <f t="shared" si="4"/>
        <v>0</v>
      </c>
      <c r="AR63" s="4"/>
      <c r="AS63" s="4"/>
    </row>
    <row r="64" spans="1:45" ht="41.25" customHeight="1" x14ac:dyDescent="0.2">
      <c r="AM64" s="4"/>
      <c r="AN64" s="4"/>
      <c r="AO64" s="4"/>
      <c r="AP64" s="4"/>
      <c r="AQ64" s="4">
        <f t="shared" si="4"/>
        <v>0</v>
      </c>
      <c r="AR64" s="4"/>
      <c r="AS64" s="4"/>
    </row>
  </sheetData>
  <mergeCells count="26">
    <mergeCell ref="AH4:AH5"/>
    <mergeCell ref="AI4:AI5"/>
    <mergeCell ref="AK4:AK5"/>
    <mergeCell ref="AJ4:AJ5"/>
    <mergeCell ref="AM2:AS2"/>
    <mergeCell ref="AM4:AM7"/>
    <mergeCell ref="AH2:AJ2"/>
    <mergeCell ref="C2:I2"/>
    <mergeCell ref="A2:B2"/>
    <mergeCell ref="J2:L2"/>
    <mergeCell ref="O1:Q2"/>
    <mergeCell ref="B1:K1"/>
    <mergeCell ref="T1:AK1"/>
    <mergeCell ref="T2:U2"/>
    <mergeCell ref="V2:W2"/>
    <mergeCell ref="X2:Z2"/>
    <mergeCell ref="AD2:AF2"/>
    <mergeCell ref="AM30:AM34"/>
    <mergeCell ref="AM39:AM42"/>
    <mergeCell ref="AM35:AM38"/>
    <mergeCell ref="AM8:AM11"/>
    <mergeCell ref="AM12:AM14"/>
    <mergeCell ref="AM15:AM18"/>
    <mergeCell ref="AM19:AM21"/>
    <mergeCell ref="AM27:AM29"/>
    <mergeCell ref="AM22:AM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D0A5-9288-4510-8DE5-85DDD2E439A0}">
  <sheetPr>
    <tabColor rgb="FF92D050"/>
  </sheetPr>
  <dimension ref="A1:AS64"/>
  <sheetViews>
    <sheetView zoomScale="91" zoomScaleNormal="91" workbookViewId="0">
      <pane ySplit="3" topLeftCell="A4" activePane="bottomLeft" state="frozen"/>
      <selection pane="bottomLeft" activeCell="F9" sqref="F9"/>
    </sheetView>
  </sheetViews>
  <sheetFormatPr defaultColWidth="12.125" defaultRowHeight="41.25" customHeight="1" x14ac:dyDescent="0.2"/>
  <cols>
    <col min="1" max="1" width="12.125" style="1"/>
    <col min="2" max="2" width="16.75" style="1" customWidth="1"/>
    <col min="3" max="5" width="12.125" style="1"/>
    <col min="6" max="6" width="13.375" style="1" customWidth="1"/>
    <col min="7" max="7" width="11.25" style="1" bestFit="1" customWidth="1"/>
    <col min="8" max="9" width="21.875" style="1" bestFit="1" customWidth="1"/>
    <col min="10" max="10" width="12.5" style="1" customWidth="1"/>
    <col min="11" max="11" width="13.25" style="1" customWidth="1"/>
    <col min="12" max="12" width="16.125" style="1" bestFit="1" customWidth="1"/>
    <col min="13" max="13" width="7.625" style="3" customWidth="1"/>
    <col min="14" max="14" width="20.875" style="1" customWidth="1"/>
    <col min="15" max="15" width="19.5" style="1" customWidth="1"/>
    <col min="16" max="16" width="18.25" style="1" customWidth="1"/>
    <col min="17" max="17" width="17.625" style="1" customWidth="1"/>
    <col min="18" max="18" width="21.375" style="1" customWidth="1"/>
    <col min="19" max="19" width="8.5" style="2" customWidth="1"/>
    <col min="20" max="20" width="15.625" style="1" customWidth="1"/>
    <col min="21" max="21" width="14.75" style="1" customWidth="1"/>
    <col min="22" max="22" width="15.375" style="1" customWidth="1"/>
    <col min="23" max="23" width="23" style="1" customWidth="1"/>
    <col min="24" max="25" width="22.625" style="1" customWidth="1"/>
    <col min="26" max="26" width="13" style="1" bestFit="1" customWidth="1"/>
    <col min="27" max="27" width="16.375" style="1" bestFit="1" customWidth="1"/>
    <col min="28" max="28" width="23.125" style="1" bestFit="1" customWidth="1"/>
    <col min="29" max="29" width="23.125" style="1" customWidth="1"/>
    <col min="30" max="30" width="12" style="1" customWidth="1"/>
    <col min="31" max="32" width="12.125" style="1"/>
    <col min="33" max="33" width="30.75" style="1" bestFit="1" customWidth="1"/>
    <col min="34" max="34" width="30.75" style="1" customWidth="1"/>
    <col min="35" max="35" width="29" style="1" bestFit="1" customWidth="1"/>
    <col min="36" max="36" width="13.75" style="1" customWidth="1"/>
    <col min="37" max="37" width="13.875" style="1" customWidth="1"/>
    <col min="38" max="38" width="10.375" style="7" customWidth="1"/>
    <col min="39" max="40" width="18.625" style="1" customWidth="1"/>
    <col min="41" max="41" width="19.125" style="1" customWidth="1"/>
    <col min="42" max="42" width="15.75" style="1" customWidth="1"/>
    <col min="43" max="43" width="16.5" style="1" customWidth="1"/>
    <col min="44" max="44" width="17.75" style="1" customWidth="1"/>
    <col min="45" max="45" width="17.375" style="1" customWidth="1"/>
    <col min="46" max="16384" width="12.125" style="1"/>
  </cols>
  <sheetData>
    <row r="1" spans="1:45" ht="41.25" customHeight="1" x14ac:dyDescent="0.2">
      <c r="A1" s="4"/>
      <c r="B1" s="9"/>
      <c r="C1" s="46" t="s">
        <v>75</v>
      </c>
      <c r="D1" s="46"/>
      <c r="E1" s="46"/>
      <c r="F1" s="46"/>
      <c r="G1" s="46"/>
      <c r="H1" s="46"/>
      <c r="I1" s="46"/>
      <c r="J1" s="46"/>
      <c r="K1" s="47"/>
      <c r="L1" s="4"/>
      <c r="N1" s="45"/>
      <c r="O1" s="46"/>
      <c r="P1" s="46"/>
      <c r="Q1" s="46"/>
      <c r="R1" s="47"/>
      <c r="T1" s="45" t="s">
        <v>26</v>
      </c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M1" s="4"/>
      <c r="AN1" s="4"/>
      <c r="AO1" s="4"/>
      <c r="AP1" s="4"/>
      <c r="AQ1" s="4"/>
      <c r="AR1" s="4"/>
      <c r="AS1" s="4"/>
    </row>
    <row r="2" spans="1:45" ht="41.25" customHeight="1" x14ac:dyDescent="0.2">
      <c r="A2" s="45" t="s">
        <v>36</v>
      </c>
      <c r="B2" s="46"/>
      <c r="C2" s="46" t="s">
        <v>76</v>
      </c>
      <c r="D2" s="46"/>
      <c r="E2" s="46"/>
      <c r="F2" s="46"/>
      <c r="G2" s="46"/>
      <c r="H2" s="46"/>
      <c r="I2" s="46"/>
      <c r="J2" s="46"/>
      <c r="K2" s="47"/>
      <c r="L2" s="4" t="s">
        <v>37</v>
      </c>
      <c r="N2" s="45" t="s">
        <v>27</v>
      </c>
      <c r="O2" s="46"/>
      <c r="P2" s="46"/>
      <c r="Q2" s="46"/>
      <c r="R2" s="47"/>
      <c r="T2" s="45" t="s">
        <v>40</v>
      </c>
      <c r="U2" s="46"/>
      <c r="V2" s="45" t="s">
        <v>41</v>
      </c>
      <c r="W2" s="47"/>
      <c r="X2" s="45">
        <v>3277</v>
      </c>
      <c r="Y2" s="46"/>
      <c r="Z2" s="47"/>
      <c r="AA2" s="6"/>
      <c r="AB2" s="6"/>
      <c r="AC2" s="46" t="s">
        <v>9</v>
      </c>
      <c r="AD2" s="46"/>
      <c r="AE2" s="46"/>
      <c r="AF2" s="47"/>
      <c r="AG2" s="9" t="s">
        <v>18</v>
      </c>
      <c r="AH2" s="46">
        <v>2676</v>
      </c>
      <c r="AI2" s="46"/>
      <c r="AJ2" s="47"/>
      <c r="AK2" s="4"/>
      <c r="AM2" s="45" t="s">
        <v>33</v>
      </c>
      <c r="AN2" s="46"/>
      <c r="AO2" s="46"/>
      <c r="AP2" s="46"/>
      <c r="AQ2" s="46"/>
      <c r="AR2" s="46"/>
      <c r="AS2" s="47"/>
    </row>
    <row r="3" spans="1:45" ht="41.2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11</v>
      </c>
      <c r="I3" s="4" t="s">
        <v>7</v>
      </c>
      <c r="J3" s="4" t="s">
        <v>8</v>
      </c>
      <c r="K3" s="4" t="s">
        <v>9</v>
      </c>
      <c r="L3" s="4" t="s">
        <v>10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T3" s="4" t="s">
        <v>1</v>
      </c>
      <c r="U3" s="4" t="s">
        <v>17</v>
      </c>
      <c r="V3" s="4" t="s">
        <v>8</v>
      </c>
      <c r="W3" s="4" t="s">
        <v>18</v>
      </c>
      <c r="X3" s="4" t="s">
        <v>19</v>
      </c>
      <c r="Y3" s="4" t="s">
        <v>8</v>
      </c>
      <c r="Z3" s="4" t="s">
        <v>38</v>
      </c>
      <c r="AA3" s="4" t="s">
        <v>25</v>
      </c>
      <c r="AB3" s="4" t="s">
        <v>18</v>
      </c>
      <c r="AC3" s="4" t="s">
        <v>23</v>
      </c>
      <c r="AD3" s="4" t="s">
        <v>20</v>
      </c>
      <c r="AE3" s="4" t="s">
        <v>21</v>
      </c>
      <c r="AF3" s="4" t="s">
        <v>22</v>
      </c>
      <c r="AG3" s="4" t="s">
        <v>43</v>
      </c>
      <c r="AH3" s="4" t="s">
        <v>7</v>
      </c>
      <c r="AI3" s="4" t="s">
        <v>44</v>
      </c>
      <c r="AJ3" s="4" t="s">
        <v>8</v>
      </c>
      <c r="AK3" s="4" t="s">
        <v>24</v>
      </c>
      <c r="AM3" s="4" t="s">
        <v>28</v>
      </c>
      <c r="AN3" s="4" t="s">
        <v>29</v>
      </c>
      <c r="AO3" s="4" t="s">
        <v>14</v>
      </c>
      <c r="AP3" s="4" t="s">
        <v>30</v>
      </c>
      <c r="AQ3" s="4" t="s">
        <v>31</v>
      </c>
      <c r="AR3" s="4" t="s">
        <v>32</v>
      </c>
      <c r="AS3" s="4" t="s">
        <v>16</v>
      </c>
    </row>
    <row r="4" spans="1:45" ht="41.25" customHeight="1" x14ac:dyDescent="0.2">
      <c r="A4" s="4">
        <v>1</v>
      </c>
      <c r="B4" s="10">
        <v>45839</v>
      </c>
      <c r="C4" s="4">
        <v>5</v>
      </c>
      <c r="D4" s="4"/>
      <c r="E4" s="4">
        <v>5</v>
      </c>
      <c r="F4" s="4">
        <v>4.5</v>
      </c>
      <c r="G4" s="4"/>
      <c r="H4" s="4">
        <v>0.5</v>
      </c>
      <c r="I4" s="4">
        <f t="shared" ref="I4:I15" si="0">E4-F4</f>
        <v>0.5</v>
      </c>
      <c r="J4" s="4"/>
      <c r="K4" s="4">
        <v>1</v>
      </c>
      <c r="L4" s="4">
        <v>1</v>
      </c>
      <c r="N4" s="4"/>
      <c r="O4" s="4"/>
      <c r="P4" s="4"/>
      <c r="Q4" s="4"/>
      <c r="R4" s="4"/>
      <c r="T4" s="16">
        <v>45877</v>
      </c>
      <c r="U4" s="4">
        <v>687</v>
      </c>
      <c r="V4" s="4">
        <v>1056.1500000000001</v>
      </c>
      <c r="W4" s="4">
        <v>687</v>
      </c>
      <c r="X4" s="4">
        <v>1056.1500000000001</v>
      </c>
      <c r="Y4" s="4">
        <f>X4/W4</f>
        <v>1.5373362445414849</v>
      </c>
      <c r="Z4" s="4">
        <v>591</v>
      </c>
      <c r="AA4" s="4">
        <f>Z4*100/X2</f>
        <v>18.034787915776626</v>
      </c>
      <c r="AB4" s="4">
        <v>2676</v>
      </c>
      <c r="AC4" s="4">
        <f>AB4+Z4-X2</f>
        <v>-10</v>
      </c>
      <c r="AD4" s="4">
        <v>25</v>
      </c>
      <c r="AE4" s="4">
        <v>15</v>
      </c>
      <c r="AF4" s="4">
        <v>25</v>
      </c>
      <c r="AG4" s="4">
        <v>4207.6000000000004</v>
      </c>
      <c r="AH4" s="42">
        <v>234.5</v>
      </c>
      <c r="AI4" s="42">
        <f>AH4*30.76</f>
        <v>7213.22</v>
      </c>
      <c r="AJ4" s="42">
        <f>AG4/AH2</f>
        <v>1.5723467862481317</v>
      </c>
      <c r="AK4" s="42">
        <f>AI4/AG5</f>
        <v>1.6989871867345014</v>
      </c>
      <c r="AM4" s="42" t="s">
        <v>49</v>
      </c>
      <c r="AN4" s="4" t="s">
        <v>45</v>
      </c>
      <c r="AO4" s="20">
        <v>48</v>
      </c>
      <c r="AP4" s="4">
        <v>4</v>
      </c>
      <c r="AQ4" s="20">
        <f>AO4*AP4</f>
        <v>192</v>
      </c>
      <c r="AR4" s="4"/>
      <c r="AS4" s="4"/>
    </row>
    <row r="5" spans="1:45" ht="41.25" customHeight="1" x14ac:dyDescent="0.2">
      <c r="A5" s="4">
        <v>2</v>
      </c>
      <c r="B5" s="10">
        <v>45840</v>
      </c>
      <c r="C5" s="4"/>
      <c r="D5" s="4"/>
      <c r="E5" s="4">
        <v>5</v>
      </c>
      <c r="F5" s="4">
        <v>4</v>
      </c>
      <c r="G5" s="4"/>
      <c r="H5" s="4">
        <v>0.5</v>
      </c>
      <c r="I5" s="4">
        <f t="shared" si="0"/>
        <v>1</v>
      </c>
      <c r="J5" s="4"/>
      <c r="K5" s="4">
        <v>2</v>
      </c>
      <c r="L5" s="4">
        <f>L4+K5</f>
        <v>3</v>
      </c>
      <c r="N5" s="4"/>
      <c r="O5" s="4"/>
      <c r="P5" s="4"/>
      <c r="Q5" s="4"/>
      <c r="R5" s="4"/>
      <c r="T5" s="16">
        <v>45878</v>
      </c>
      <c r="U5" s="4">
        <v>1269</v>
      </c>
      <c r="V5" s="4">
        <v>1867.1</v>
      </c>
      <c r="W5" s="1">
        <f t="shared" ref="W5:X7" si="1">W4+U5</f>
        <v>1956</v>
      </c>
      <c r="X5" s="4">
        <f t="shared" si="1"/>
        <v>2923.25</v>
      </c>
      <c r="Y5" s="4">
        <f t="shared" ref="Y5:Y7" si="2">X5/W5</f>
        <v>1.4945040899795501</v>
      </c>
      <c r="Z5" s="4"/>
      <c r="AA5" s="4"/>
      <c r="AB5" s="4"/>
      <c r="AC5" s="4"/>
      <c r="AD5" s="4">
        <f>AD4*0.3</f>
        <v>7.5</v>
      </c>
      <c r="AE5" s="4">
        <f>AE4*0.7</f>
        <v>10.5</v>
      </c>
      <c r="AF5" s="4">
        <f>AF4*0.8</f>
        <v>20</v>
      </c>
      <c r="AG5" s="4">
        <f>AG4+AD5+AE5+AF5</f>
        <v>4245.6000000000004</v>
      </c>
      <c r="AH5" s="44"/>
      <c r="AI5" s="44"/>
      <c r="AJ5" s="44"/>
      <c r="AK5" s="44"/>
      <c r="AM5" s="43"/>
      <c r="AN5" s="4" t="s">
        <v>77</v>
      </c>
      <c r="AO5" s="20">
        <v>32</v>
      </c>
      <c r="AP5" s="4">
        <v>4</v>
      </c>
      <c r="AQ5" s="20">
        <f t="shared" ref="AQ5:AQ64" si="3">AO5*AP5</f>
        <v>128</v>
      </c>
      <c r="AR5" s="4"/>
      <c r="AS5" s="4"/>
    </row>
    <row r="6" spans="1:45" ht="41.25" customHeight="1" x14ac:dyDescent="0.2">
      <c r="A6" s="4">
        <v>3</v>
      </c>
      <c r="B6" s="10">
        <v>45841</v>
      </c>
      <c r="C6" s="4"/>
      <c r="D6" s="4"/>
      <c r="E6" s="4">
        <v>5</v>
      </c>
      <c r="F6" s="4">
        <v>2.5</v>
      </c>
      <c r="G6" s="4"/>
      <c r="H6" s="4">
        <v>1.5</v>
      </c>
      <c r="I6" s="4">
        <f t="shared" si="0"/>
        <v>2.5</v>
      </c>
      <c r="J6" s="4"/>
      <c r="K6" s="4">
        <v>4</v>
      </c>
      <c r="L6" s="4">
        <f t="shared" ref="L6:L53" si="4">L5+K6</f>
        <v>7</v>
      </c>
      <c r="N6" s="4"/>
      <c r="O6" s="4"/>
      <c r="P6" s="4"/>
      <c r="Q6" s="4"/>
      <c r="R6" s="4"/>
      <c r="T6" s="16">
        <v>45879</v>
      </c>
      <c r="U6" s="4">
        <v>50</v>
      </c>
      <c r="V6" s="4">
        <v>70.5</v>
      </c>
      <c r="W6" s="1">
        <f t="shared" si="1"/>
        <v>2006</v>
      </c>
      <c r="X6" s="4">
        <f t="shared" si="1"/>
        <v>2993.75</v>
      </c>
      <c r="Y6" s="4">
        <f t="shared" si="2"/>
        <v>1.4923978065802592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M6" s="43"/>
      <c r="AN6" s="4" t="s">
        <v>47</v>
      </c>
      <c r="AO6" s="20">
        <v>32</v>
      </c>
      <c r="AP6" s="4">
        <v>4</v>
      </c>
      <c r="AQ6" s="20">
        <f t="shared" si="3"/>
        <v>128</v>
      </c>
      <c r="AR6" s="4"/>
      <c r="AS6" s="4"/>
    </row>
    <row r="7" spans="1:45" ht="41.25" customHeight="1" x14ac:dyDescent="0.2">
      <c r="A7" s="4">
        <v>4</v>
      </c>
      <c r="B7" s="10">
        <v>45842</v>
      </c>
      <c r="C7" s="4"/>
      <c r="D7" s="4"/>
      <c r="E7" s="4">
        <v>5</v>
      </c>
      <c r="F7" s="4"/>
      <c r="G7" s="4"/>
      <c r="H7" s="4">
        <v>2.5</v>
      </c>
      <c r="I7" s="4">
        <f t="shared" si="0"/>
        <v>5</v>
      </c>
      <c r="J7" s="4"/>
      <c r="K7" s="4">
        <v>5</v>
      </c>
      <c r="L7" s="4">
        <f t="shared" si="4"/>
        <v>12</v>
      </c>
      <c r="N7" s="4"/>
      <c r="O7" s="4"/>
      <c r="P7" s="4"/>
      <c r="Q7" s="4"/>
      <c r="R7" s="4"/>
      <c r="T7" s="16">
        <v>45886</v>
      </c>
      <c r="U7" s="4">
        <v>670</v>
      </c>
      <c r="V7" s="4">
        <v>1213.8499999999999</v>
      </c>
      <c r="W7" s="1">
        <f t="shared" si="1"/>
        <v>2676</v>
      </c>
      <c r="X7" s="4">
        <f t="shared" si="1"/>
        <v>4207.6000000000004</v>
      </c>
      <c r="Y7" s="4">
        <f t="shared" si="2"/>
        <v>1.5723467862481317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M7" s="44"/>
      <c r="AN7" s="4" t="s">
        <v>48</v>
      </c>
      <c r="AO7" s="11">
        <v>32</v>
      </c>
      <c r="AP7" s="4">
        <v>4</v>
      </c>
      <c r="AQ7" s="11">
        <f t="shared" si="3"/>
        <v>128</v>
      </c>
      <c r="AR7" s="4"/>
      <c r="AS7" s="4"/>
    </row>
    <row r="8" spans="1:45" ht="41.25" customHeight="1" x14ac:dyDescent="0.2">
      <c r="A8" s="4">
        <v>5</v>
      </c>
      <c r="B8" s="10">
        <v>45843</v>
      </c>
      <c r="C8" s="4">
        <v>5</v>
      </c>
      <c r="D8" s="4"/>
      <c r="E8" s="4">
        <f>C4+C8</f>
        <v>10</v>
      </c>
      <c r="F8" s="4">
        <v>2</v>
      </c>
      <c r="G8" s="4"/>
      <c r="H8" s="4">
        <v>3</v>
      </c>
      <c r="I8" s="4">
        <f t="shared" si="0"/>
        <v>8</v>
      </c>
      <c r="J8" s="4"/>
      <c r="K8" s="4">
        <v>6</v>
      </c>
      <c r="L8" s="4">
        <f t="shared" si="4"/>
        <v>18</v>
      </c>
      <c r="N8" s="4"/>
      <c r="O8" s="4"/>
      <c r="P8" s="4"/>
      <c r="Q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M8" s="42" t="s">
        <v>52</v>
      </c>
      <c r="AN8" s="4" t="s">
        <v>50</v>
      </c>
      <c r="AO8" s="11">
        <v>19</v>
      </c>
      <c r="AP8" s="4">
        <v>3</v>
      </c>
      <c r="AQ8" s="11">
        <f t="shared" si="3"/>
        <v>57</v>
      </c>
      <c r="AR8" s="4"/>
    </row>
    <row r="9" spans="1:45" ht="41.25" customHeight="1" x14ac:dyDescent="0.2">
      <c r="A9" s="4">
        <v>6</v>
      </c>
      <c r="B9" s="10">
        <v>45844</v>
      </c>
      <c r="C9" s="4">
        <v>10</v>
      </c>
      <c r="D9" s="4"/>
      <c r="E9" s="4">
        <f>E8+C9+D9</f>
        <v>20</v>
      </c>
      <c r="F9" s="4">
        <v>9</v>
      </c>
      <c r="G9" s="4"/>
      <c r="H9" s="4">
        <v>3</v>
      </c>
      <c r="I9" s="4">
        <f t="shared" si="0"/>
        <v>11</v>
      </c>
      <c r="J9" s="4"/>
      <c r="K9" s="4">
        <v>1</v>
      </c>
      <c r="L9" s="4">
        <f t="shared" si="4"/>
        <v>19</v>
      </c>
      <c r="N9" s="4"/>
      <c r="O9" s="4"/>
      <c r="P9" s="4"/>
      <c r="Q9" s="4"/>
      <c r="R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M9" s="43"/>
      <c r="AN9" s="4" t="s">
        <v>51</v>
      </c>
      <c r="AO9" s="11">
        <v>19</v>
      </c>
      <c r="AP9" s="4">
        <v>3</v>
      </c>
      <c r="AQ9" s="11">
        <f t="shared" si="3"/>
        <v>57</v>
      </c>
      <c r="AR9" s="4"/>
      <c r="AS9" s="4"/>
    </row>
    <row r="10" spans="1:45" ht="41.25" customHeight="1" x14ac:dyDescent="0.2">
      <c r="A10" s="4">
        <v>7</v>
      </c>
      <c r="B10" s="10">
        <v>45845</v>
      </c>
      <c r="C10" s="4"/>
      <c r="D10" s="4"/>
      <c r="E10" s="4">
        <f t="shared" ref="E10:E53" si="5">E9+C10+D10</f>
        <v>20</v>
      </c>
      <c r="F10" s="4">
        <v>6</v>
      </c>
      <c r="G10" s="4"/>
      <c r="H10" s="4">
        <v>3</v>
      </c>
      <c r="I10" s="4">
        <f t="shared" si="0"/>
        <v>14</v>
      </c>
      <c r="J10" s="4"/>
      <c r="K10" s="4">
        <v>3</v>
      </c>
      <c r="L10" s="4">
        <f t="shared" si="4"/>
        <v>22</v>
      </c>
      <c r="N10" s="4"/>
      <c r="O10" s="4"/>
      <c r="P10" s="4"/>
      <c r="Q10" s="4"/>
      <c r="R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M10" s="43"/>
      <c r="AN10" s="4" t="s">
        <v>47</v>
      </c>
      <c r="AO10" s="20">
        <v>48</v>
      </c>
      <c r="AP10" s="4">
        <v>3</v>
      </c>
      <c r="AQ10" s="20">
        <f t="shared" si="3"/>
        <v>144</v>
      </c>
      <c r="AR10" s="4"/>
      <c r="AS10" s="4"/>
    </row>
    <row r="11" spans="1:45" ht="41.25" customHeight="1" x14ac:dyDescent="0.2">
      <c r="A11" s="4">
        <v>8</v>
      </c>
      <c r="B11" s="10">
        <v>45846</v>
      </c>
      <c r="C11" s="4"/>
      <c r="D11" s="4"/>
      <c r="E11" s="4">
        <f t="shared" si="5"/>
        <v>20</v>
      </c>
      <c r="F11" s="4">
        <v>2.5</v>
      </c>
      <c r="G11" s="4"/>
      <c r="H11" s="4">
        <v>3</v>
      </c>
      <c r="I11" s="4">
        <f t="shared" si="0"/>
        <v>17.5</v>
      </c>
      <c r="J11" s="4"/>
      <c r="K11" s="4">
        <v>9</v>
      </c>
      <c r="L11" s="4">
        <f t="shared" si="4"/>
        <v>31</v>
      </c>
      <c r="N11" s="4"/>
      <c r="O11" s="4"/>
      <c r="P11" s="4"/>
      <c r="Q11" s="4"/>
      <c r="R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M11" s="44"/>
      <c r="AN11" s="4" t="s">
        <v>48</v>
      </c>
      <c r="AO11" s="11">
        <v>48</v>
      </c>
      <c r="AP11" s="4">
        <v>3</v>
      </c>
      <c r="AQ11" s="11">
        <f t="shared" si="3"/>
        <v>144</v>
      </c>
      <c r="AR11" s="4"/>
      <c r="AS11" s="4"/>
    </row>
    <row r="12" spans="1:45" ht="41.25" customHeight="1" x14ac:dyDescent="0.2">
      <c r="A12" s="4">
        <v>9</v>
      </c>
      <c r="B12" s="10">
        <v>45847</v>
      </c>
      <c r="C12" s="4"/>
      <c r="D12" s="4"/>
      <c r="E12" s="4">
        <f t="shared" si="5"/>
        <v>20</v>
      </c>
      <c r="F12" s="4"/>
      <c r="G12" s="4"/>
      <c r="H12" s="4">
        <v>2.5</v>
      </c>
      <c r="I12" s="4">
        <f t="shared" si="0"/>
        <v>20</v>
      </c>
      <c r="J12" s="4"/>
      <c r="K12" s="4">
        <v>101</v>
      </c>
      <c r="L12" s="4">
        <f t="shared" si="4"/>
        <v>132</v>
      </c>
      <c r="N12" s="4"/>
      <c r="O12" s="4"/>
      <c r="P12" s="4"/>
      <c r="Q12" s="4"/>
      <c r="R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M12" s="42" t="s">
        <v>55</v>
      </c>
      <c r="AN12" s="4" t="s">
        <v>53</v>
      </c>
      <c r="AO12" s="11">
        <v>640</v>
      </c>
      <c r="AP12" s="4">
        <v>3</v>
      </c>
      <c r="AQ12" s="11">
        <f t="shared" si="3"/>
        <v>1920</v>
      </c>
      <c r="AR12" s="4"/>
      <c r="AS12" s="4"/>
    </row>
    <row r="13" spans="1:45" ht="41.25" customHeight="1" x14ac:dyDescent="0.2">
      <c r="A13" s="4">
        <v>10</v>
      </c>
      <c r="B13" s="10">
        <v>45848</v>
      </c>
      <c r="C13" s="4">
        <v>10</v>
      </c>
      <c r="D13" s="4"/>
      <c r="E13" s="4">
        <f t="shared" si="5"/>
        <v>30</v>
      </c>
      <c r="F13" s="4">
        <v>7</v>
      </c>
      <c r="G13" s="4"/>
      <c r="H13" s="4">
        <v>3</v>
      </c>
      <c r="I13" s="4">
        <f t="shared" si="0"/>
        <v>23</v>
      </c>
      <c r="J13" s="4"/>
      <c r="K13" s="4">
        <v>90</v>
      </c>
      <c r="L13" s="4">
        <f t="shared" si="4"/>
        <v>222</v>
      </c>
      <c r="N13" s="4"/>
      <c r="O13" s="4"/>
      <c r="P13" s="4"/>
      <c r="Q13" s="4"/>
      <c r="R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M13" s="43"/>
      <c r="AN13" s="4" t="s">
        <v>54</v>
      </c>
      <c r="AO13" s="20">
        <v>64</v>
      </c>
      <c r="AP13" s="4">
        <v>3</v>
      </c>
      <c r="AQ13" s="20">
        <f t="shared" si="3"/>
        <v>192</v>
      </c>
      <c r="AR13" s="4"/>
      <c r="AS13" s="4"/>
    </row>
    <row r="14" spans="1:45" ht="41.25" customHeight="1" x14ac:dyDescent="0.2">
      <c r="A14" s="4">
        <v>11</v>
      </c>
      <c r="B14" s="10">
        <v>45849</v>
      </c>
      <c r="C14" s="4"/>
      <c r="D14" s="4"/>
      <c r="E14" s="4">
        <f t="shared" si="5"/>
        <v>30</v>
      </c>
      <c r="F14" s="4">
        <v>3.5</v>
      </c>
      <c r="G14" s="4"/>
      <c r="H14" s="4">
        <v>3.5</v>
      </c>
      <c r="I14" s="4">
        <f t="shared" si="0"/>
        <v>26.5</v>
      </c>
      <c r="J14" s="4"/>
      <c r="K14" s="4">
        <v>96</v>
      </c>
      <c r="L14" s="4">
        <f t="shared" si="4"/>
        <v>318</v>
      </c>
      <c r="N14" s="4"/>
      <c r="O14" s="4"/>
      <c r="P14" s="4"/>
      <c r="Q14" s="4"/>
      <c r="R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M14" s="44"/>
      <c r="AN14" s="4" t="s">
        <v>48</v>
      </c>
      <c r="AO14" s="11">
        <v>64</v>
      </c>
      <c r="AP14" s="4">
        <v>3</v>
      </c>
      <c r="AQ14" s="11">
        <f t="shared" si="3"/>
        <v>192</v>
      </c>
      <c r="AR14" s="4"/>
      <c r="AS14" s="4"/>
    </row>
    <row r="15" spans="1:45" ht="41.25" customHeight="1" x14ac:dyDescent="0.2">
      <c r="A15" s="4">
        <v>12</v>
      </c>
      <c r="B15" s="10">
        <v>45850</v>
      </c>
      <c r="C15" s="4">
        <v>10</v>
      </c>
      <c r="D15" s="4"/>
      <c r="E15" s="4">
        <f t="shared" si="5"/>
        <v>40</v>
      </c>
      <c r="F15" s="4">
        <v>10</v>
      </c>
      <c r="G15" s="4"/>
      <c r="H15" s="4">
        <v>3.5</v>
      </c>
      <c r="I15" s="4">
        <f t="shared" si="0"/>
        <v>30</v>
      </c>
      <c r="J15" s="4"/>
      <c r="K15" s="4">
        <v>92</v>
      </c>
      <c r="L15" s="4">
        <f t="shared" si="4"/>
        <v>410</v>
      </c>
      <c r="N15" s="4"/>
      <c r="O15" s="4"/>
      <c r="P15" s="4"/>
      <c r="Q15" s="4"/>
      <c r="R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M15" s="42" t="s">
        <v>57</v>
      </c>
      <c r="AN15" s="4" t="s">
        <v>78</v>
      </c>
      <c r="AO15" s="20">
        <v>320</v>
      </c>
      <c r="AP15" s="4">
        <v>2</v>
      </c>
      <c r="AQ15" s="20">
        <f t="shared" si="3"/>
        <v>640</v>
      </c>
      <c r="AR15" s="4"/>
      <c r="AS15" s="4"/>
    </row>
    <row r="16" spans="1:45" ht="41.25" customHeight="1" x14ac:dyDescent="0.2">
      <c r="A16" s="4">
        <v>13</v>
      </c>
      <c r="B16" s="10">
        <v>45851</v>
      </c>
      <c r="C16" s="4"/>
      <c r="D16" s="4"/>
      <c r="E16" s="4">
        <f t="shared" si="5"/>
        <v>40</v>
      </c>
      <c r="F16" s="4">
        <v>6</v>
      </c>
      <c r="G16" s="4"/>
      <c r="H16" s="4">
        <v>4</v>
      </c>
      <c r="I16" s="4">
        <v>34</v>
      </c>
      <c r="J16" s="4"/>
      <c r="K16" s="4">
        <v>40</v>
      </c>
      <c r="L16" s="4">
        <f t="shared" si="4"/>
        <v>450</v>
      </c>
      <c r="N16" s="4"/>
      <c r="O16" s="4"/>
      <c r="P16" s="4"/>
      <c r="Q16" s="4"/>
      <c r="R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M16" s="43"/>
      <c r="AN16" s="4" t="s">
        <v>53</v>
      </c>
      <c r="AO16" s="11">
        <v>640</v>
      </c>
      <c r="AP16" s="4">
        <v>2</v>
      </c>
      <c r="AQ16" s="11">
        <f t="shared" si="3"/>
        <v>1280</v>
      </c>
      <c r="AR16" s="4"/>
      <c r="AS16" s="4"/>
    </row>
    <row r="17" spans="1:45" ht="41.25" customHeight="1" x14ac:dyDescent="0.2">
      <c r="A17" s="4">
        <v>14</v>
      </c>
      <c r="B17" s="10">
        <v>45852</v>
      </c>
      <c r="C17" s="4"/>
      <c r="D17" s="4"/>
      <c r="E17" s="4">
        <f t="shared" si="5"/>
        <v>40</v>
      </c>
      <c r="F17" s="4">
        <v>2</v>
      </c>
      <c r="G17" s="4"/>
      <c r="H17" s="4">
        <v>4</v>
      </c>
      <c r="I17" s="4">
        <v>38</v>
      </c>
      <c r="J17" s="4"/>
      <c r="K17" s="4">
        <v>20</v>
      </c>
      <c r="L17" s="4">
        <f t="shared" si="4"/>
        <v>470</v>
      </c>
      <c r="N17" s="4"/>
      <c r="O17" s="4"/>
      <c r="P17" s="4"/>
      <c r="Q17" s="4"/>
      <c r="R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M17" s="43"/>
      <c r="AN17" s="4" t="s">
        <v>54</v>
      </c>
      <c r="AO17" s="20">
        <v>64</v>
      </c>
      <c r="AP17" s="4">
        <v>2</v>
      </c>
      <c r="AQ17" s="20">
        <f t="shared" si="3"/>
        <v>128</v>
      </c>
      <c r="AR17" s="4"/>
      <c r="AS17" s="4"/>
    </row>
    <row r="18" spans="1:45" ht="41.25" customHeight="1" x14ac:dyDescent="0.2">
      <c r="A18" s="4">
        <v>15</v>
      </c>
      <c r="B18" s="10">
        <v>45853</v>
      </c>
      <c r="C18" s="4">
        <v>15</v>
      </c>
      <c r="D18" s="4"/>
      <c r="E18" s="4">
        <f t="shared" si="5"/>
        <v>55</v>
      </c>
      <c r="F18" s="4">
        <v>12</v>
      </c>
      <c r="G18" s="4"/>
      <c r="H18" s="1">
        <v>5</v>
      </c>
      <c r="I18" s="4">
        <v>43</v>
      </c>
      <c r="J18" s="4"/>
      <c r="K18" s="4">
        <v>15</v>
      </c>
      <c r="L18" s="4">
        <f t="shared" si="4"/>
        <v>485</v>
      </c>
      <c r="N18" s="4"/>
      <c r="O18" s="4"/>
      <c r="P18" s="4"/>
      <c r="Q18" s="4"/>
      <c r="R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M18" s="44"/>
      <c r="AN18" s="4" t="s">
        <v>48</v>
      </c>
      <c r="AO18" s="11">
        <v>64</v>
      </c>
      <c r="AP18" s="4">
        <v>2</v>
      </c>
      <c r="AQ18" s="11">
        <f t="shared" si="3"/>
        <v>128</v>
      </c>
      <c r="AR18" s="4"/>
      <c r="AS18" s="4"/>
    </row>
    <row r="19" spans="1:45" ht="41.25" customHeight="1" x14ac:dyDescent="0.2">
      <c r="A19" s="4">
        <v>16</v>
      </c>
      <c r="B19" s="10">
        <v>45854</v>
      </c>
      <c r="C19" s="4"/>
      <c r="D19" s="4"/>
      <c r="E19" s="4">
        <f t="shared" si="5"/>
        <v>55</v>
      </c>
      <c r="F19" s="4">
        <v>7</v>
      </c>
      <c r="G19" s="4"/>
      <c r="H19" s="4">
        <v>5</v>
      </c>
      <c r="I19" s="4">
        <v>48</v>
      </c>
      <c r="J19" s="4"/>
      <c r="K19" s="4">
        <v>9</v>
      </c>
      <c r="L19" s="4">
        <f t="shared" si="4"/>
        <v>494</v>
      </c>
      <c r="N19" s="4"/>
      <c r="O19" s="4"/>
      <c r="P19" s="4"/>
      <c r="Q19" s="4"/>
      <c r="R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M19" s="42" t="s">
        <v>59</v>
      </c>
      <c r="AN19" s="4" t="s">
        <v>53</v>
      </c>
      <c r="AO19" s="11">
        <v>640</v>
      </c>
      <c r="AP19" s="4">
        <v>3</v>
      </c>
      <c r="AQ19" s="11">
        <f t="shared" si="3"/>
        <v>1920</v>
      </c>
      <c r="AR19" s="4"/>
      <c r="AS19" s="4"/>
    </row>
    <row r="20" spans="1:45" ht="41.25" customHeight="1" x14ac:dyDescent="0.2">
      <c r="A20" s="4">
        <v>17</v>
      </c>
      <c r="B20" s="10">
        <v>45855</v>
      </c>
      <c r="C20" s="4"/>
      <c r="D20" s="4"/>
      <c r="E20" s="4">
        <f t="shared" si="5"/>
        <v>55</v>
      </c>
      <c r="F20" s="4">
        <v>4</v>
      </c>
      <c r="G20" s="4"/>
      <c r="H20" s="4">
        <v>3</v>
      </c>
      <c r="I20" s="4">
        <v>51</v>
      </c>
      <c r="J20" s="4"/>
      <c r="K20" s="4">
        <v>8</v>
      </c>
      <c r="L20" s="4">
        <f>L19+K20</f>
        <v>502</v>
      </c>
      <c r="N20" s="4"/>
      <c r="O20" s="4"/>
      <c r="P20" s="4"/>
      <c r="Q20" s="4"/>
      <c r="R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M20" s="43"/>
      <c r="AN20" s="4" t="s">
        <v>61</v>
      </c>
      <c r="AO20" s="20">
        <v>64</v>
      </c>
      <c r="AP20" s="4">
        <v>3</v>
      </c>
      <c r="AQ20" s="20">
        <f t="shared" si="3"/>
        <v>192</v>
      </c>
      <c r="AR20" s="4"/>
      <c r="AS20" s="4"/>
    </row>
    <row r="21" spans="1:45" ht="41.25" customHeight="1" x14ac:dyDescent="0.2">
      <c r="A21" s="4">
        <v>18</v>
      </c>
      <c r="B21" s="10">
        <v>45856</v>
      </c>
      <c r="C21" s="4">
        <v>10</v>
      </c>
      <c r="D21" s="4"/>
      <c r="E21" s="4">
        <f t="shared" si="5"/>
        <v>65</v>
      </c>
      <c r="F21" s="4">
        <v>9</v>
      </c>
      <c r="G21" s="4"/>
      <c r="H21" s="4">
        <v>3.5</v>
      </c>
      <c r="I21" s="4">
        <v>54.5</v>
      </c>
      <c r="J21" s="4"/>
      <c r="K21" s="4">
        <v>7</v>
      </c>
      <c r="L21" s="4">
        <f>L20+K21</f>
        <v>509</v>
      </c>
      <c r="N21" s="4"/>
      <c r="O21" s="4"/>
      <c r="P21" s="4"/>
      <c r="Q21" s="4"/>
      <c r="R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M21" s="44"/>
      <c r="AN21" s="4" t="s">
        <v>48</v>
      </c>
      <c r="AO21" s="11">
        <v>80</v>
      </c>
      <c r="AP21" s="4">
        <v>3</v>
      </c>
      <c r="AQ21" s="11">
        <f t="shared" si="3"/>
        <v>240</v>
      </c>
      <c r="AR21" s="4"/>
      <c r="AS21" s="4"/>
    </row>
    <row r="22" spans="1:45" ht="41.25" customHeight="1" x14ac:dyDescent="0.2">
      <c r="A22" s="4">
        <v>19</v>
      </c>
      <c r="B22" s="10">
        <v>45857</v>
      </c>
      <c r="C22" s="4">
        <v>6.5</v>
      </c>
      <c r="D22" s="4"/>
      <c r="E22" s="4">
        <f t="shared" si="5"/>
        <v>71.5</v>
      </c>
      <c r="F22" s="4">
        <v>13</v>
      </c>
      <c r="G22" s="4"/>
      <c r="H22" s="4">
        <v>4</v>
      </c>
      <c r="I22" s="4">
        <v>58.5</v>
      </c>
      <c r="J22" s="4"/>
      <c r="K22" s="4">
        <v>9</v>
      </c>
      <c r="L22" s="4">
        <f t="shared" si="4"/>
        <v>518</v>
      </c>
      <c r="N22" s="4"/>
      <c r="O22" s="4"/>
      <c r="P22" s="4"/>
      <c r="Q22" s="4"/>
      <c r="R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M22" s="42">
        <v>16</v>
      </c>
      <c r="AN22" s="4" t="s">
        <v>53</v>
      </c>
      <c r="AO22" s="11">
        <v>640</v>
      </c>
      <c r="AP22" s="4">
        <v>1</v>
      </c>
      <c r="AQ22" s="11">
        <f t="shared" si="3"/>
        <v>640</v>
      </c>
      <c r="AR22" s="4"/>
      <c r="AS22" s="4"/>
    </row>
    <row r="23" spans="1:45" ht="41.25" customHeight="1" x14ac:dyDescent="0.2">
      <c r="A23" s="4">
        <v>20</v>
      </c>
      <c r="B23" s="10">
        <v>45858</v>
      </c>
      <c r="C23" s="4"/>
      <c r="D23" s="4"/>
      <c r="E23" s="4">
        <f t="shared" si="5"/>
        <v>71.5</v>
      </c>
      <c r="F23" s="4">
        <v>7.5</v>
      </c>
      <c r="G23" s="4"/>
      <c r="H23" s="4">
        <v>5.5</v>
      </c>
      <c r="I23" s="4">
        <f>E23-F23-G23</f>
        <v>64</v>
      </c>
      <c r="J23" s="4"/>
      <c r="K23" s="4">
        <v>7</v>
      </c>
      <c r="L23" s="4">
        <f t="shared" si="4"/>
        <v>525</v>
      </c>
      <c r="N23" s="4"/>
      <c r="O23" s="4"/>
      <c r="P23" s="4"/>
      <c r="Q23" s="4"/>
      <c r="R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M23" s="43"/>
      <c r="AN23" s="4" t="s">
        <v>54</v>
      </c>
      <c r="AO23" s="20">
        <v>96</v>
      </c>
      <c r="AP23" s="4">
        <v>1</v>
      </c>
      <c r="AQ23" s="20">
        <f t="shared" si="3"/>
        <v>96</v>
      </c>
      <c r="AR23" s="4"/>
      <c r="AS23" s="4"/>
    </row>
    <row r="24" spans="1:45" ht="41.25" customHeight="1" x14ac:dyDescent="0.2">
      <c r="A24" s="4">
        <v>21</v>
      </c>
      <c r="B24" s="10">
        <v>45859</v>
      </c>
      <c r="C24" s="4">
        <v>20</v>
      </c>
      <c r="D24" s="4"/>
      <c r="E24" s="4">
        <f t="shared" si="5"/>
        <v>91.5</v>
      </c>
      <c r="F24" s="4">
        <v>21.5</v>
      </c>
      <c r="G24" s="4"/>
      <c r="H24" s="4">
        <v>6</v>
      </c>
      <c r="I24" s="4">
        <f>E24-F24-G24</f>
        <v>70</v>
      </c>
      <c r="J24" s="4"/>
      <c r="K24" s="4">
        <v>2</v>
      </c>
      <c r="L24" s="4">
        <f t="shared" si="4"/>
        <v>527</v>
      </c>
      <c r="N24" s="4"/>
      <c r="O24" s="4"/>
      <c r="P24" s="4"/>
      <c r="Q24" s="4"/>
      <c r="R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M24" s="43"/>
      <c r="AN24" s="4" t="s">
        <v>48</v>
      </c>
      <c r="AO24" s="11">
        <v>96</v>
      </c>
      <c r="AP24" s="4">
        <v>1</v>
      </c>
      <c r="AQ24" s="11">
        <f t="shared" si="3"/>
        <v>96</v>
      </c>
      <c r="AR24" s="4"/>
      <c r="AS24" s="4"/>
    </row>
    <row r="25" spans="1:45" ht="41.25" customHeight="1" x14ac:dyDescent="0.2">
      <c r="A25" s="4">
        <v>22</v>
      </c>
      <c r="B25" s="10">
        <v>45860</v>
      </c>
      <c r="C25" s="4"/>
      <c r="D25" s="4"/>
      <c r="E25" s="4">
        <f t="shared" si="5"/>
        <v>91.5</v>
      </c>
      <c r="F25" s="4">
        <v>14.5</v>
      </c>
      <c r="G25" s="4"/>
      <c r="H25" s="4">
        <v>7</v>
      </c>
      <c r="I25" s="4">
        <f>E25-F25-G25</f>
        <v>77</v>
      </c>
      <c r="J25" s="4"/>
      <c r="K25" s="4">
        <v>3</v>
      </c>
      <c r="L25" s="4">
        <f t="shared" si="4"/>
        <v>530</v>
      </c>
      <c r="N25" s="4"/>
      <c r="O25" s="4"/>
      <c r="P25" s="4"/>
      <c r="Q25" s="4"/>
      <c r="R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M25" s="43"/>
      <c r="AN25" s="4" t="s">
        <v>62</v>
      </c>
      <c r="AO25" s="4">
        <v>3</v>
      </c>
      <c r="AP25" s="4">
        <v>1</v>
      </c>
      <c r="AQ25" s="4">
        <f t="shared" si="3"/>
        <v>3</v>
      </c>
      <c r="AR25" s="4"/>
      <c r="AS25" s="4"/>
    </row>
    <row r="26" spans="1:45" ht="41.25" customHeight="1" x14ac:dyDescent="0.2">
      <c r="A26" s="4">
        <v>23</v>
      </c>
      <c r="B26" s="10">
        <v>45861</v>
      </c>
      <c r="C26" s="4"/>
      <c r="D26" s="4"/>
      <c r="E26" s="4">
        <f t="shared" si="5"/>
        <v>91.5</v>
      </c>
      <c r="F26" s="4">
        <v>8</v>
      </c>
      <c r="G26" s="4"/>
      <c r="H26" s="4">
        <v>6.5</v>
      </c>
      <c r="I26" s="4">
        <v>83.5</v>
      </c>
      <c r="J26" s="4"/>
      <c r="K26" s="4">
        <v>1</v>
      </c>
      <c r="L26" s="4">
        <f t="shared" si="4"/>
        <v>531</v>
      </c>
      <c r="N26" s="4"/>
      <c r="O26" s="4"/>
      <c r="P26" s="4"/>
      <c r="Q26" s="4"/>
      <c r="R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M26" s="44"/>
      <c r="AN26" s="4" t="s">
        <v>63</v>
      </c>
      <c r="AO26" s="11">
        <v>225</v>
      </c>
      <c r="AP26" s="4">
        <v>1</v>
      </c>
      <c r="AQ26" s="11">
        <f t="shared" si="3"/>
        <v>225</v>
      </c>
      <c r="AR26" s="4"/>
      <c r="AS26" s="4"/>
    </row>
    <row r="27" spans="1:45" ht="41.25" customHeight="1" x14ac:dyDescent="0.2">
      <c r="A27" s="4">
        <v>24</v>
      </c>
      <c r="B27" s="10">
        <v>45862</v>
      </c>
      <c r="C27" s="4">
        <v>10</v>
      </c>
      <c r="D27" s="4"/>
      <c r="E27" s="4">
        <f t="shared" si="5"/>
        <v>101.5</v>
      </c>
      <c r="F27" s="4">
        <v>12</v>
      </c>
      <c r="G27" s="4"/>
      <c r="H27" s="4">
        <v>6</v>
      </c>
      <c r="I27" s="4">
        <v>89.5</v>
      </c>
      <c r="J27" s="4"/>
      <c r="K27" s="4">
        <v>1</v>
      </c>
      <c r="L27" s="4">
        <f t="shared" si="4"/>
        <v>532</v>
      </c>
      <c r="N27" s="4"/>
      <c r="O27" s="4"/>
      <c r="P27" s="4"/>
      <c r="Q27" s="4"/>
      <c r="R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M27" s="42">
        <v>17</v>
      </c>
      <c r="AN27" s="4" t="s">
        <v>53</v>
      </c>
      <c r="AO27" s="11">
        <v>640</v>
      </c>
      <c r="AP27" s="4">
        <v>1</v>
      </c>
      <c r="AQ27" s="11">
        <f t="shared" si="3"/>
        <v>640</v>
      </c>
      <c r="AR27" s="4"/>
      <c r="AS27" s="4"/>
    </row>
    <row r="28" spans="1:45" ht="41.25" customHeight="1" x14ac:dyDescent="0.2">
      <c r="A28" s="4">
        <v>25</v>
      </c>
      <c r="B28" s="10">
        <v>45863</v>
      </c>
      <c r="C28" s="4"/>
      <c r="D28" s="4"/>
      <c r="E28" s="4">
        <f t="shared" si="5"/>
        <v>101.5</v>
      </c>
      <c r="F28" s="4">
        <v>4</v>
      </c>
      <c r="G28" s="4"/>
      <c r="H28" s="4">
        <v>7</v>
      </c>
      <c r="I28" s="4">
        <f>E28-F28-G28</f>
        <v>97.5</v>
      </c>
      <c r="J28" s="4"/>
      <c r="K28" s="4">
        <v>6</v>
      </c>
      <c r="L28" s="4">
        <f t="shared" si="4"/>
        <v>538</v>
      </c>
      <c r="N28" s="4"/>
      <c r="O28" s="4"/>
      <c r="P28" s="4"/>
      <c r="Q28" s="4"/>
      <c r="R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M28" s="43"/>
      <c r="AN28" s="4" t="s">
        <v>54</v>
      </c>
      <c r="AO28" s="20">
        <v>96</v>
      </c>
      <c r="AP28" s="4">
        <v>1</v>
      </c>
      <c r="AQ28" s="20">
        <f t="shared" si="3"/>
        <v>96</v>
      </c>
      <c r="AR28" s="4"/>
      <c r="AS28" s="4"/>
    </row>
    <row r="29" spans="1:45" ht="41.25" customHeight="1" x14ac:dyDescent="0.2">
      <c r="A29" s="4">
        <v>26</v>
      </c>
      <c r="B29" s="10">
        <v>45864</v>
      </c>
      <c r="C29" s="4">
        <v>10</v>
      </c>
      <c r="D29" s="4"/>
      <c r="E29" s="4">
        <f t="shared" si="5"/>
        <v>111.5</v>
      </c>
      <c r="F29" s="4">
        <v>8</v>
      </c>
      <c r="G29" s="4"/>
      <c r="H29" s="4">
        <v>7.5</v>
      </c>
      <c r="I29" s="4">
        <f>E29-F29</f>
        <v>103.5</v>
      </c>
      <c r="J29" s="4"/>
      <c r="K29" s="4">
        <v>3</v>
      </c>
      <c r="L29" s="4">
        <f t="shared" si="4"/>
        <v>541</v>
      </c>
      <c r="N29" s="4"/>
      <c r="O29" s="4"/>
      <c r="P29" s="4"/>
      <c r="Q29" s="4"/>
      <c r="R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M29" s="44"/>
      <c r="AN29" s="4" t="s">
        <v>48</v>
      </c>
      <c r="AO29" s="11">
        <v>96</v>
      </c>
      <c r="AP29" s="4">
        <v>1</v>
      </c>
      <c r="AQ29" s="11">
        <f t="shared" si="3"/>
        <v>96</v>
      </c>
      <c r="AR29" s="4"/>
      <c r="AS29" s="4"/>
    </row>
    <row r="30" spans="1:45" ht="41.25" customHeight="1" x14ac:dyDescent="0.2">
      <c r="A30" s="4">
        <v>27</v>
      </c>
      <c r="B30" s="10">
        <v>45865</v>
      </c>
      <c r="C30" s="4">
        <v>20</v>
      </c>
      <c r="D30" s="4"/>
      <c r="E30" s="4">
        <f>E29+C30+D30</f>
        <v>131.5</v>
      </c>
      <c r="F30" s="4">
        <v>20</v>
      </c>
      <c r="G30" s="4"/>
      <c r="H30" s="4">
        <v>7.5</v>
      </c>
      <c r="I30" s="4">
        <f>E30-F30-G30</f>
        <v>111.5</v>
      </c>
      <c r="J30" s="4"/>
      <c r="K30" s="4">
        <v>3</v>
      </c>
      <c r="L30" s="4">
        <f t="shared" si="4"/>
        <v>544</v>
      </c>
      <c r="N30" s="4"/>
      <c r="O30" s="4"/>
      <c r="P30" s="4"/>
      <c r="Q30" s="4"/>
      <c r="R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M30" s="42" t="s">
        <v>79</v>
      </c>
      <c r="AN30" s="4" t="s">
        <v>45</v>
      </c>
      <c r="AO30" s="20">
        <v>320</v>
      </c>
      <c r="AP30" s="4">
        <v>3</v>
      </c>
      <c r="AQ30" s="20">
        <f t="shared" si="3"/>
        <v>960</v>
      </c>
      <c r="AR30" s="4"/>
      <c r="AS30" s="4"/>
    </row>
    <row r="31" spans="1:45" ht="41.25" customHeight="1" x14ac:dyDescent="0.2">
      <c r="A31" s="4">
        <v>28</v>
      </c>
      <c r="B31" s="10">
        <v>45866</v>
      </c>
      <c r="C31" s="4">
        <v>19</v>
      </c>
      <c r="D31" s="4"/>
      <c r="E31" s="4">
        <f>E30+C31+D31</f>
        <v>150.5</v>
      </c>
      <c r="F31" s="4">
        <v>33</v>
      </c>
      <c r="G31" s="4"/>
      <c r="H31" s="4">
        <v>8</v>
      </c>
      <c r="I31" s="4">
        <f t="shared" ref="I31:I37" si="6">E31-F31-G31</f>
        <v>117.5</v>
      </c>
      <c r="J31" s="4"/>
      <c r="K31" s="4">
        <v>2</v>
      </c>
      <c r="L31" s="4">
        <f t="shared" si="4"/>
        <v>546</v>
      </c>
      <c r="N31" s="4"/>
      <c r="O31" s="4"/>
      <c r="P31" s="4"/>
      <c r="Q31" s="4"/>
      <c r="R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M31" s="43"/>
      <c r="AN31" s="4" t="s">
        <v>77</v>
      </c>
      <c r="AO31" s="20">
        <v>225</v>
      </c>
      <c r="AP31" s="4">
        <v>3</v>
      </c>
      <c r="AQ31" s="20">
        <f t="shared" si="3"/>
        <v>675</v>
      </c>
      <c r="AR31" s="4"/>
      <c r="AS31" s="4"/>
    </row>
    <row r="32" spans="1:45" ht="41.25" customHeight="1" x14ac:dyDescent="0.2">
      <c r="A32" s="4">
        <v>29</v>
      </c>
      <c r="B32" s="10">
        <v>45867</v>
      </c>
      <c r="C32" s="4"/>
      <c r="D32" s="4"/>
      <c r="E32" s="4">
        <f t="shared" si="5"/>
        <v>150.5</v>
      </c>
      <c r="F32" s="4">
        <v>25</v>
      </c>
      <c r="G32" s="4"/>
      <c r="H32" s="4">
        <v>8</v>
      </c>
      <c r="I32" s="4">
        <f t="shared" si="6"/>
        <v>125.5</v>
      </c>
      <c r="J32" s="4"/>
      <c r="K32" s="4"/>
      <c r="L32" s="4">
        <f t="shared" si="4"/>
        <v>546</v>
      </c>
      <c r="N32" s="4"/>
      <c r="O32" s="4"/>
      <c r="P32" s="4"/>
      <c r="Q32" s="4"/>
      <c r="R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M32" s="43"/>
      <c r="AN32" s="4" t="s">
        <v>53</v>
      </c>
      <c r="AO32" s="11">
        <v>640</v>
      </c>
      <c r="AP32" s="4">
        <v>3</v>
      </c>
      <c r="AQ32" s="11">
        <f>AO32*AP32</f>
        <v>1920</v>
      </c>
      <c r="AR32" s="4"/>
      <c r="AS32" s="4"/>
    </row>
    <row r="33" spans="1:45" ht="41.25" customHeight="1" x14ac:dyDescent="0.2">
      <c r="A33" s="4">
        <v>30</v>
      </c>
      <c r="B33" s="10">
        <v>45868</v>
      </c>
      <c r="C33" s="4"/>
      <c r="D33" s="4"/>
      <c r="E33" s="4">
        <f t="shared" si="5"/>
        <v>150.5</v>
      </c>
      <c r="F33" s="4">
        <v>17</v>
      </c>
      <c r="G33" s="4"/>
      <c r="H33" s="4">
        <v>8.5</v>
      </c>
      <c r="I33" s="4">
        <f t="shared" si="6"/>
        <v>133.5</v>
      </c>
      <c r="J33" s="4"/>
      <c r="K33" s="4">
        <v>5</v>
      </c>
      <c r="L33" s="4">
        <f t="shared" si="4"/>
        <v>551</v>
      </c>
      <c r="N33" s="4"/>
      <c r="O33" s="4"/>
      <c r="P33" s="4"/>
      <c r="Q33" s="4"/>
      <c r="R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M33" s="43"/>
      <c r="AN33" s="4" t="s">
        <v>54</v>
      </c>
      <c r="AO33" s="20">
        <v>125</v>
      </c>
      <c r="AP33" s="4">
        <v>3</v>
      </c>
      <c r="AQ33" s="20">
        <f>AO33*AP33</f>
        <v>375</v>
      </c>
      <c r="AR33" s="4"/>
      <c r="AS33" s="4"/>
    </row>
    <row r="34" spans="1:45" ht="41.25" customHeight="1" x14ac:dyDescent="0.2">
      <c r="A34" s="4">
        <v>31</v>
      </c>
      <c r="B34" s="10">
        <v>45869</v>
      </c>
      <c r="C34" s="4"/>
      <c r="D34" s="4"/>
      <c r="E34" s="4">
        <f t="shared" si="5"/>
        <v>150.5</v>
      </c>
      <c r="F34" s="4">
        <v>9</v>
      </c>
      <c r="G34" s="4"/>
      <c r="H34" s="4">
        <v>8.5</v>
      </c>
      <c r="I34" s="4">
        <f t="shared" si="6"/>
        <v>141.5</v>
      </c>
      <c r="J34" s="4"/>
      <c r="K34" s="4">
        <v>2</v>
      </c>
      <c r="L34" s="4">
        <f t="shared" si="4"/>
        <v>553</v>
      </c>
      <c r="N34" s="4"/>
      <c r="O34" s="4"/>
      <c r="P34" s="4"/>
      <c r="Q34" s="4"/>
      <c r="R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M34" s="44"/>
      <c r="AN34" s="1" t="s">
        <v>48</v>
      </c>
      <c r="AO34" s="11">
        <v>110</v>
      </c>
      <c r="AP34" s="4">
        <v>3</v>
      </c>
      <c r="AQ34" s="11">
        <f t="shared" si="3"/>
        <v>330</v>
      </c>
      <c r="AR34" s="4"/>
      <c r="AS34" s="4"/>
    </row>
    <row r="35" spans="1:45" ht="41.25" customHeight="1" x14ac:dyDescent="0.2">
      <c r="A35" s="4">
        <v>32</v>
      </c>
      <c r="B35" s="10">
        <v>45870</v>
      </c>
      <c r="C35" s="4">
        <v>22</v>
      </c>
      <c r="D35" s="4">
        <v>8</v>
      </c>
      <c r="E35" s="4">
        <f t="shared" si="5"/>
        <v>180.5</v>
      </c>
      <c r="F35" s="4">
        <v>22</v>
      </c>
      <c r="G35" s="4">
        <v>8</v>
      </c>
      <c r="H35" s="4">
        <v>9</v>
      </c>
      <c r="I35" s="4">
        <f t="shared" si="6"/>
        <v>150.5</v>
      </c>
      <c r="J35" s="4"/>
      <c r="K35" s="4">
        <v>4</v>
      </c>
      <c r="L35" s="4">
        <f t="shared" si="4"/>
        <v>557</v>
      </c>
      <c r="N35" s="4"/>
      <c r="O35" s="4"/>
      <c r="P35" s="4"/>
      <c r="Q35" s="4"/>
      <c r="R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M35" s="42">
        <v>21</v>
      </c>
      <c r="AN35" s="4" t="s">
        <v>53</v>
      </c>
      <c r="AO35" s="11">
        <v>640</v>
      </c>
      <c r="AP35" s="4">
        <v>1</v>
      </c>
      <c r="AQ35" s="11">
        <f t="shared" si="3"/>
        <v>640</v>
      </c>
      <c r="AR35" s="4"/>
      <c r="AS35" s="4"/>
    </row>
    <row r="36" spans="1:45" ht="41.25" customHeight="1" x14ac:dyDescent="0.2">
      <c r="A36" s="4">
        <v>33</v>
      </c>
      <c r="B36" s="10">
        <v>45871</v>
      </c>
      <c r="C36" s="4"/>
      <c r="D36" s="4"/>
      <c r="E36" s="4">
        <f t="shared" si="5"/>
        <v>180.5</v>
      </c>
      <c r="F36" s="4">
        <v>16</v>
      </c>
      <c r="G36" s="4">
        <v>5</v>
      </c>
      <c r="H36" s="4">
        <v>9</v>
      </c>
      <c r="I36" s="4">
        <f t="shared" si="6"/>
        <v>159.5</v>
      </c>
      <c r="J36" s="4"/>
      <c r="K36" s="4">
        <v>2</v>
      </c>
      <c r="L36" s="4">
        <f t="shared" si="4"/>
        <v>559</v>
      </c>
      <c r="N36" s="4"/>
      <c r="O36" s="4"/>
      <c r="P36" s="4"/>
      <c r="Q36" s="4"/>
      <c r="R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M36" s="43"/>
      <c r="AN36" s="4" t="s">
        <v>61</v>
      </c>
      <c r="AO36" s="20">
        <v>110</v>
      </c>
      <c r="AP36" s="4">
        <v>1</v>
      </c>
      <c r="AQ36" s="20">
        <f t="shared" si="3"/>
        <v>110</v>
      </c>
      <c r="AR36" s="4"/>
      <c r="AS36" s="4"/>
    </row>
    <row r="37" spans="1:45" ht="41.25" customHeight="1" x14ac:dyDescent="0.2">
      <c r="A37" s="4">
        <v>34</v>
      </c>
      <c r="B37" s="10">
        <v>45872</v>
      </c>
      <c r="C37" s="4"/>
      <c r="D37" s="4"/>
      <c r="E37" s="4">
        <f t="shared" si="5"/>
        <v>180.5</v>
      </c>
      <c r="F37" s="4">
        <v>9</v>
      </c>
      <c r="G37" s="4">
        <v>2</v>
      </c>
      <c r="H37" s="4">
        <v>7.5</v>
      </c>
      <c r="I37" s="4">
        <f t="shared" si="6"/>
        <v>169.5</v>
      </c>
      <c r="J37" s="4"/>
      <c r="K37" s="4">
        <v>4</v>
      </c>
      <c r="L37" s="4">
        <f t="shared" si="4"/>
        <v>563</v>
      </c>
      <c r="N37" s="4"/>
      <c r="O37" s="4"/>
      <c r="P37" s="4"/>
      <c r="Q37" s="4"/>
      <c r="R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M37" s="43"/>
      <c r="AN37" s="4" t="s">
        <v>48</v>
      </c>
      <c r="AO37" s="11">
        <v>110</v>
      </c>
      <c r="AP37" s="4">
        <v>1</v>
      </c>
      <c r="AQ37" s="11">
        <f t="shared" si="3"/>
        <v>110</v>
      </c>
      <c r="AR37" s="4"/>
      <c r="AS37" s="4"/>
    </row>
    <row r="38" spans="1:45" ht="41.25" customHeight="1" x14ac:dyDescent="0.2">
      <c r="A38" s="4">
        <v>35</v>
      </c>
      <c r="B38" s="10">
        <v>45873</v>
      </c>
      <c r="C38" s="4">
        <v>15</v>
      </c>
      <c r="D38" s="4"/>
      <c r="E38" s="4">
        <f t="shared" si="5"/>
        <v>195.5</v>
      </c>
      <c r="F38" s="4">
        <v>19</v>
      </c>
      <c r="G38" s="4"/>
      <c r="H38" s="4">
        <v>7.5</v>
      </c>
      <c r="I38" s="4">
        <f>E38-F38</f>
        <v>176.5</v>
      </c>
      <c r="J38" s="4"/>
      <c r="K38" s="4">
        <v>2</v>
      </c>
      <c r="L38" s="4">
        <f t="shared" si="4"/>
        <v>565</v>
      </c>
      <c r="N38" s="4"/>
      <c r="O38" s="4"/>
      <c r="P38" s="4"/>
      <c r="Q38" s="4"/>
      <c r="R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M38" s="44"/>
      <c r="AN38" s="4" t="s">
        <v>80</v>
      </c>
      <c r="AO38" s="11">
        <v>500</v>
      </c>
      <c r="AP38" s="4">
        <v>1</v>
      </c>
      <c r="AQ38" s="11">
        <f t="shared" si="3"/>
        <v>500</v>
      </c>
      <c r="AR38" s="4"/>
      <c r="AS38" s="4"/>
    </row>
    <row r="39" spans="1:45" ht="41.25" customHeight="1" x14ac:dyDescent="0.2">
      <c r="A39" s="4">
        <v>36</v>
      </c>
      <c r="B39" s="10">
        <v>45874</v>
      </c>
      <c r="C39" s="4"/>
      <c r="D39" s="4"/>
      <c r="E39" s="4">
        <f t="shared" si="5"/>
        <v>195.5</v>
      </c>
      <c r="F39" s="4">
        <v>11</v>
      </c>
      <c r="G39" s="4"/>
      <c r="H39" s="4">
        <v>9</v>
      </c>
      <c r="I39" s="4">
        <f>E39-F39</f>
        <v>184.5</v>
      </c>
      <c r="J39" s="4"/>
      <c r="K39" s="4">
        <v>1</v>
      </c>
      <c r="L39" s="4">
        <f t="shared" si="4"/>
        <v>566</v>
      </c>
      <c r="N39" s="4"/>
      <c r="O39" s="4"/>
      <c r="P39" s="4"/>
      <c r="Q39" s="4"/>
      <c r="R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M39" s="42" t="s">
        <v>68</v>
      </c>
      <c r="AN39" s="4" t="s">
        <v>67</v>
      </c>
      <c r="AO39" s="21">
        <v>2</v>
      </c>
      <c r="AP39" s="4">
        <v>3</v>
      </c>
      <c r="AQ39" s="21">
        <f t="shared" si="3"/>
        <v>6</v>
      </c>
      <c r="AR39" s="4"/>
      <c r="AS39" s="4"/>
    </row>
    <row r="40" spans="1:45" ht="41.25" customHeight="1" x14ac:dyDescent="0.2">
      <c r="A40" s="4">
        <v>37</v>
      </c>
      <c r="B40" s="10">
        <v>45875</v>
      </c>
      <c r="C40" s="4"/>
      <c r="D40" s="4"/>
      <c r="E40" s="4">
        <f t="shared" si="5"/>
        <v>195.5</v>
      </c>
      <c r="F40" s="4">
        <v>1</v>
      </c>
      <c r="G40" s="4"/>
      <c r="H40" s="4">
        <v>10</v>
      </c>
      <c r="I40" s="4">
        <f>E40-F40-G40</f>
        <v>194.5</v>
      </c>
      <c r="J40" s="4"/>
      <c r="K40" s="4">
        <v>5</v>
      </c>
      <c r="L40" s="4">
        <f t="shared" si="4"/>
        <v>571</v>
      </c>
      <c r="N40" s="4"/>
      <c r="O40" s="4"/>
      <c r="P40" s="4"/>
      <c r="Q40" s="4"/>
      <c r="R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M40" s="43"/>
      <c r="AN40" s="4" t="s">
        <v>48</v>
      </c>
      <c r="AO40" s="11">
        <v>80</v>
      </c>
      <c r="AP40" s="4">
        <v>3</v>
      </c>
      <c r="AQ40" s="11">
        <f t="shared" si="3"/>
        <v>240</v>
      </c>
      <c r="AR40" s="4"/>
      <c r="AS40" s="4"/>
    </row>
    <row r="41" spans="1:45" ht="41.25" customHeight="1" x14ac:dyDescent="0.2">
      <c r="A41" s="4">
        <v>38</v>
      </c>
      <c r="B41" s="10">
        <v>45876</v>
      </c>
      <c r="C41" s="4">
        <v>15</v>
      </c>
      <c r="D41" s="4">
        <v>5</v>
      </c>
      <c r="E41" s="4">
        <f t="shared" si="5"/>
        <v>215.5</v>
      </c>
      <c r="F41" s="4">
        <v>8</v>
      </c>
      <c r="G41" s="4">
        <v>1</v>
      </c>
      <c r="H41" s="4">
        <v>12</v>
      </c>
      <c r="I41" s="4">
        <f>E41-F41-G41</f>
        <v>206.5</v>
      </c>
      <c r="J41" s="4"/>
      <c r="K41" s="4">
        <v>2</v>
      </c>
      <c r="L41" s="4">
        <f t="shared" si="4"/>
        <v>573</v>
      </c>
      <c r="N41" s="4"/>
      <c r="O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M41" s="43"/>
      <c r="AN41" s="4" t="s">
        <v>54</v>
      </c>
      <c r="AO41" s="20">
        <v>240</v>
      </c>
      <c r="AP41" s="4">
        <v>3</v>
      </c>
      <c r="AQ41" s="20">
        <f t="shared" si="3"/>
        <v>720</v>
      </c>
      <c r="AR41" s="4"/>
      <c r="AS41" s="4"/>
    </row>
    <row r="42" spans="1:45" ht="41.25" customHeight="1" x14ac:dyDescent="0.2">
      <c r="A42" s="4">
        <v>39</v>
      </c>
      <c r="B42" s="10">
        <v>45877</v>
      </c>
      <c r="C42" s="4">
        <v>18</v>
      </c>
      <c r="D42" s="4"/>
      <c r="E42" s="4">
        <f t="shared" si="5"/>
        <v>233.5</v>
      </c>
      <c r="F42" s="4">
        <v>18</v>
      </c>
      <c r="G42" s="4">
        <v>1</v>
      </c>
      <c r="H42" s="4">
        <v>8</v>
      </c>
      <c r="I42" s="4">
        <f>E42-F42-G42</f>
        <v>214.5</v>
      </c>
      <c r="J42" s="4"/>
      <c r="K42" s="4">
        <v>5</v>
      </c>
      <c r="L42" s="4">
        <f t="shared" si="4"/>
        <v>578</v>
      </c>
      <c r="N42" s="4"/>
      <c r="O42" s="4"/>
      <c r="P42" s="4"/>
      <c r="Q42" s="4"/>
      <c r="R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M42" s="44"/>
      <c r="AN42" s="4" t="s">
        <v>80</v>
      </c>
      <c r="AO42" s="11">
        <v>500</v>
      </c>
      <c r="AP42" s="4">
        <v>3</v>
      </c>
      <c r="AQ42" s="11">
        <f t="shared" si="3"/>
        <v>1500</v>
      </c>
      <c r="AR42" s="4"/>
      <c r="AS42" s="4"/>
    </row>
    <row r="43" spans="1:45" ht="41.25" customHeight="1" x14ac:dyDescent="0.2">
      <c r="A43" s="4">
        <v>40</v>
      </c>
      <c r="B43" s="10">
        <v>45878</v>
      </c>
      <c r="C43" s="4"/>
      <c r="D43" s="4"/>
      <c r="E43" s="4">
        <f t="shared" si="5"/>
        <v>233.5</v>
      </c>
      <c r="F43" s="4">
        <v>17</v>
      </c>
      <c r="G43" s="4">
        <v>1</v>
      </c>
      <c r="H43" s="4">
        <v>1</v>
      </c>
      <c r="I43" s="4">
        <f>E43-F43-G43</f>
        <v>215.5</v>
      </c>
      <c r="J43" s="4"/>
      <c r="K43" s="4">
        <v>5</v>
      </c>
      <c r="L43" s="4">
        <f t="shared" si="4"/>
        <v>583</v>
      </c>
      <c r="N43" s="4"/>
      <c r="O43" s="4"/>
      <c r="P43" s="4"/>
      <c r="Q43" s="4"/>
      <c r="R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M43" s="42">
        <v>25</v>
      </c>
      <c r="AN43" s="4" t="s">
        <v>69</v>
      </c>
      <c r="AO43" s="4">
        <v>3</v>
      </c>
      <c r="AP43" s="4">
        <v>1</v>
      </c>
      <c r="AQ43" s="20">
        <f t="shared" si="3"/>
        <v>3</v>
      </c>
      <c r="AR43" s="4"/>
      <c r="AS43" s="4"/>
    </row>
    <row r="44" spans="1:45" ht="41.25" customHeight="1" x14ac:dyDescent="0.2">
      <c r="A44" s="4">
        <v>41</v>
      </c>
      <c r="B44" s="10">
        <v>45879</v>
      </c>
      <c r="C44" s="4"/>
      <c r="D44" s="4"/>
      <c r="E44" s="4">
        <f t="shared" si="5"/>
        <v>233.5</v>
      </c>
      <c r="F44" s="4">
        <v>15</v>
      </c>
      <c r="G44" s="4"/>
      <c r="H44" s="4">
        <v>3</v>
      </c>
      <c r="I44" s="4">
        <f>E44-F44-G44</f>
        <v>218.5</v>
      </c>
      <c r="J44" s="4"/>
      <c r="K44" s="4"/>
      <c r="L44" s="4">
        <f t="shared" si="4"/>
        <v>583</v>
      </c>
      <c r="N44" s="4"/>
      <c r="O44" s="4"/>
      <c r="P44" s="4"/>
      <c r="Q44" s="4"/>
      <c r="R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M44" s="44"/>
      <c r="AN44" s="4" t="s">
        <v>63</v>
      </c>
      <c r="AO44" s="11">
        <v>300</v>
      </c>
      <c r="AP44" s="4">
        <v>1</v>
      </c>
      <c r="AQ44" s="11">
        <f t="shared" si="3"/>
        <v>300</v>
      </c>
      <c r="AR44" s="4"/>
      <c r="AS44" s="4"/>
    </row>
    <row r="45" spans="1:45" ht="41.25" customHeight="1" x14ac:dyDescent="0.2">
      <c r="A45" s="4">
        <v>42</v>
      </c>
      <c r="B45" s="10">
        <v>45880</v>
      </c>
      <c r="C45" s="4"/>
      <c r="D45" s="4"/>
      <c r="E45" s="4">
        <f t="shared" si="5"/>
        <v>233.5</v>
      </c>
      <c r="F45" s="4">
        <v>12</v>
      </c>
      <c r="G45" s="4"/>
      <c r="H45" s="4">
        <v>3</v>
      </c>
      <c r="I45" s="4">
        <f t="shared" ref="I45:I50" si="7">E45-F45</f>
        <v>221.5</v>
      </c>
      <c r="J45" s="4"/>
      <c r="K45" s="4"/>
      <c r="L45" s="4">
        <f t="shared" si="4"/>
        <v>583</v>
      </c>
      <c r="N45" s="4"/>
      <c r="O45" s="4"/>
      <c r="P45" s="4"/>
      <c r="Q45" s="4"/>
      <c r="R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M45" s="4" t="s">
        <v>81</v>
      </c>
      <c r="AN45" s="4" t="s">
        <v>70</v>
      </c>
      <c r="AO45" s="20">
        <v>340</v>
      </c>
      <c r="AP45" s="4">
        <v>3</v>
      </c>
      <c r="AQ45" s="20">
        <f>AO45*AP45</f>
        <v>1020</v>
      </c>
      <c r="AR45" s="4"/>
      <c r="AS45" s="4"/>
    </row>
    <row r="46" spans="1:45" ht="41.25" customHeight="1" x14ac:dyDescent="0.2">
      <c r="A46" s="4">
        <v>43</v>
      </c>
      <c r="B46" s="10">
        <v>45881</v>
      </c>
      <c r="C46" s="4"/>
      <c r="D46" s="4"/>
      <c r="E46" s="4">
        <f t="shared" si="5"/>
        <v>233.5</v>
      </c>
      <c r="F46" s="4">
        <v>10</v>
      </c>
      <c r="G46" s="4"/>
      <c r="H46" s="4">
        <v>2</v>
      </c>
      <c r="I46" s="4">
        <f t="shared" si="7"/>
        <v>223.5</v>
      </c>
      <c r="J46" s="4"/>
      <c r="K46" s="4">
        <v>2</v>
      </c>
      <c r="L46" s="4">
        <f t="shared" si="4"/>
        <v>585</v>
      </c>
      <c r="N46" s="4"/>
      <c r="O46" s="4"/>
      <c r="P46" s="4"/>
      <c r="Q46" s="4"/>
      <c r="R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M46" s="4" t="s">
        <v>73</v>
      </c>
      <c r="AN46" s="4" t="s">
        <v>72</v>
      </c>
      <c r="AO46" s="20">
        <v>240</v>
      </c>
      <c r="AP46" s="4">
        <v>3</v>
      </c>
      <c r="AQ46" s="20">
        <f t="shared" si="3"/>
        <v>720</v>
      </c>
      <c r="AR46" s="4"/>
      <c r="AS46" s="4"/>
    </row>
    <row r="47" spans="1:45" ht="41.25" customHeight="1" x14ac:dyDescent="0.2">
      <c r="A47" s="4">
        <v>44</v>
      </c>
      <c r="B47" s="10">
        <v>45882</v>
      </c>
      <c r="C47" s="4"/>
      <c r="D47" s="4"/>
      <c r="E47" s="4">
        <f t="shared" si="5"/>
        <v>233.5</v>
      </c>
      <c r="F47" s="4">
        <v>7</v>
      </c>
      <c r="G47" s="4"/>
      <c r="H47" s="4">
        <v>3</v>
      </c>
      <c r="I47" s="4">
        <f t="shared" si="7"/>
        <v>226.5</v>
      </c>
      <c r="J47" s="4"/>
      <c r="K47" s="4">
        <v>1</v>
      </c>
      <c r="L47" s="4">
        <f t="shared" si="4"/>
        <v>586</v>
      </c>
      <c r="N47" s="4"/>
      <c r="O47" s="4"/>
      <c r="P47" s="4"/>
      <c r="Q47" s="4"/>
      <c r="R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M47" s="42" t="s">
        <v>74</v>
      </c>
      <c r="AN47" s="4" t="s">
        <v>67</v>
      </c>
      <c r="AO47" s="21">
        <v>3.5</v>
      </c>
      <c r="AP47" s="4">
        <v>3</v>
      </c>
      <c r="AQ47" s="21">
        <f t="shared" si="3"/>
        <v>10.5</v>
      </c>
      <c r="AR47" s="4"/>
      <c r="AS47" s="4"/>
    </row>
    <row r="48" spans="1:45" ht="41.25" customHeight="1" x14ac:dyDescent="0.2">
      <c r="A48" s="4">
        <v>45</v>
      </c>
      <c r="B48" s="10">
        <v>45883</v>
      </c>
      <c r="C48" s="4"/>
      <c r="D48" s="4"/>
      <c r="E48" s="4">
        <f t="shared" si="5"/>
        <v>233.5</v>
      </c>
      <c r="F48" s="4">
        <v>4</v>
      </c>
      <c r="G48" s="4"/>
      <c r="H48" s="4">
        <v>3</v>
      </c>
      <c r="I48" s="4">
        <f t="shared" si="7"/>
        <v>229.5</v>
      </c>
      <c r="J48" s="4"/>
      <c r="K48" s="4">
        <v>1</v>
      </c>
      <c r="L48" s="4">
        <f t="shared" si="4"/>
        <v>587</v>
      </c>
      <c r="N48" s="4"/>
      <c r="O48" s="4"/>
      <c r="P48" s="4"/>
      <c r="Q48" s="4"/>
      <c r="R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M48" s="43"/>
      <c r="AN48" s="4" t="s">
        <v>48</v>
      </c>
      <c r="AO48" s="11">
        <v>195</v>
      </c>
      <c r="AP48" s="4">
        <v>3</v>
      </c>
      <c r="AQ48" s="11">
        <f t="shared" si="3"/>
        <v>585</v>
      </c>
      <c r="AR48" s="4"/>
      <c r="AS48" s="4"/>
    </row>
    <row r="49" spans="1:45" ht="41.25" customHeight="1" x14ac:dyDescent="0.2">
      <c r="A49" s="4">
        <v>46</v>
      </c>
      <c r="B49" s="10">
        <v>45884</v>
      </c>
      <c r="C49" s="4">
        <v>5</v>
      </c>
      <c r="D49" s="4"/>
      <c r="E49" s="4">
        <f t="shared" si="5"/>
        <v>238.5</v>
      </c>
      <c r="F49" s="4">
        <v>6</v>
      </c>
      <c r="G49" s="4"/>
      <c r="H49" s="4">
        <v>3</v>
      </c>
      <c r="I49" s="4">
        <f t="shared" si="7"/>
        <v>232.5</v>
      </c>
      <c r="J49" s="4"/>
      <c r="K49" s="4"/>
      <c r="L49" s="4">
        <f t="shared" si="4"/>
        <v>587</v>
      </c>
      <c r="N49" s="4"/>
      <c r="O49" s="4"/>
      <c r="P49" s="4"/>
      <c r="Q49" s="4"/>
      <c r="R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M49" s="44"/>
      <c r="AN49" s="4" t="s">
        <v>82</v>
      </c>
      <c r="AO49" s="20">
        <v>360</v>
      </c>
      <c r="AP49" s="4">
        <v>3</v>
      </c>
      <c r="AQ49" s="20">
        <f t="shared" si="3"/>
        <v>1080</v>
      </c>
      <c r="AR49" s="4"/>
      <c r="AS49" s="4"/>
    </row>
    <row r="50" spans="1:45" ht="41.25" customHeight="1" x14ac:dyDescent="0.2">
      <c r="A50" s="4">
        <v>47</v>
      </c>
      <c r="B50" s="10">
        <v>45885</v>
      </c>
      <c r="C50" s="4"/>
      <c r="D50" s="4"/>
      <c r="E50" s="4">
        <f t="shared" si="5"/>
        <v>238.5</v>
      </c>
      <c r="F50" s="4">
        <v>4.5</v>
      </c>
      <c r="G50" s="4"/>
      <c r="H50" s="4">
        <v>2.5</v>
      </c>
      <c r="I50" s="4">
        <f t="shared" si="7"/>
        <v>234</v>
      </c>
      <c r="J50" s="4"/>
      <c r="K50" s="4"/>
      <c r="L50" s="4">
        <f t="shared" si="4"/>
        <v>587</v>
      </c>
      <c r="N50" s="4"/>
      <c r="O50" s="4"/>
      <c r="P50" s="4"/>
      <c r="Q50" s="4"/>
      <c r="R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M50" s="4"/>
      <c r="AN50" s="4"/>
      <c r="AO50" s="4"/>
      <c r="AP50" s="4"/>
      <c r="AQ50" s="20">
        <f t="shared" si="3"/>
        <v>0</v>
      </c>
      <c r="AR50" s="4"/>
      <c r="AS50" s="4"/>
    </row>
    <row r="51" spans="1:45" ht="41.25" customHeight="1" x14ac:dyDescent="0.2">
      <c r="A51" s="4">
        <v>48</v>
      </c>
      <c r="B51" s="10">
        <v>45886</v>
      </c>
      <c r="C51" s="4"/>
      <c r="D51" s="4"/>
      <c r="E51" s="4">
        <f t="shared" si="5"/>
        <v>238.5</v>
      </c>
      <c r="F51" s="4">
        <v>4</v>
      </c>
      <c r="G51" s="4"/>
      <c r="H51" s="4">
        <v>0.5</v>
      </c>
      <c r="I51" s="4">
        <f>E51-F51-G51</f>
        <v>234.5</v>
      </c>
      <c r="J51" s="4"/>
      <c r="K51" s="4">
        <v>4</v>
      </c>
      <c r="L51" s="4">
        <f t="shared" si="4"/>
        <v>591</v>
      </c>
      <c r="N51" s="4"/>
      <c r="O51" s="4"/>
      <c r="P51" s="4"/>
      <c r="Q51" s="4"/>
      <c r="R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M51" s="4"/>
      <c r="AN51" s="4"/>
      <c r="AO51" s="4"/>
      <c r="AP51" s="4"/>
      <c r="AQ51" s="20">
        <f t="shared" si="3"/>
        <v>0</v>
      </c>
      <c r="AR51" s="4"/>
      <c r="AS51" s="4"/>
    </row>
    <row r="52" spans="1:45" ht="41.25" customHeight="1" x14ac:dyDescent="0.2">
      <c r="A52" s="4">
        <v>49</v>
      </c>
      <c r="B52" s="10">
        <v>45887</v>
      </c>
      <c r="C52" s="4"/>
      <c r="D52" s="4"/>
      <c r="E52" s="4">
        <f t="shared" si="5"/>
        <v>238.5</v>
      </c>
      <c r="F52" s="4"/>
      <c r="G52" s="4"/>
      <c r="H52" s="4"/>
      <c r="I52" s="4"/>
      <c r="J52" s="4"/>
      <c r="K52" s="4"/>
      <c r="L52" s="4">
        <f t="shared" si="4"/>
        <v>591</v>
      </c>
      <c r="N52" s="4"/>
      <c r="O52" s="4"/>
      <c r="P52" s="4"/>
      <c r="Q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M52" s="4"/>
      <c r="AN52" s="4"/>
      <c r="AO52" s="4"/>
      <c r="AP52" s="4"/>
      <c r="AQ52" s="20">
        <f t="shared" si="3"/>
        <v>0</v>
      </c>
      <c r="AR52" s="4"/>
    </row>
    <row r="53" spans="1:45" ht="41.25" customHeight="1" x14ac:dyDescent="0.2">
      <c r="A53" s="4">
        <v>50</v>
      </c>
      <c r="B53" s="10">
        <v>45888</v>
      </c>
      <c r="C53" s="4"/>
      <c r="D53" s="4"/>
      <c r="E53" s="4">
        <f t="shared" si="5"/>
        <v>238.5</v>
      </c>
      <c r="F53" s="4"/>
      <c r="G53" s="4"/>
      <c r="H53" s="4"/>
      <c r="I53" s="4"/>
      <c r="J53" s="4"/>
      <c r="K53" s="4"/>
      <c r="L53" s="4">
        <f t="shared" si="4"/>
        <v>591</v>
      </c>
      <c r="N53" s="4"/>
      <c r="O53" s="4"/>
      <c r="P53" s="4"/>
      <c r="Q53" s="4"/>
      <c r="R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M53" s="4"/>
      <c r="AN53" s="4"/>
      <c r="AO53" s="4"/>
      <c r="AP53" s="4"/>
      <c r="AQ53" s="20">
        <f t="shared" si="3"/>
        <v>0</v>
      </c>
      <c r="AR53" s="4"/>
      <c r="AS53" s="4"/>
    </row>
    <row r="54" spans="1:45" ht="41.25" customHeight="1" x14ac:dyDescent="0.2">
      <c r="H54" s="4"/>
      <c r="AE54" s="4"/>
      <c r="AF54" s="4"/>
      <c r="AG54" s="4"/>
      <c r="AH54" s="4"/>
      <c r="AI54" s="4"/>
      <c r="AJ54" s="4"/>
      <c r="AK54" s="4"/>
      <c r="AQ54" s="20">
        <f t="shared" si="3"/>
        <v>0</v>
      </c>
    </row>
    <row r="55" spans="1:45" ht="41.25" customHeight="1" x14ac:dyDescent="0.2">
      <c r="AE55" s="4"/>
      <c r="AF55" s="4"/>
      <c r="AG55" s="4"/>
      <c r="AH55" s="4"/>
      <c r="AI55" s="4"/>
      <c r="AJ55" s="4"/>
      <c r="AK55" s="4"/>
      <c r="AL55" s="1"/>
      <c r="AQ55" s="20">
        <f t="shared" si="3"/>
        <v>0</v>
      </c>
    </row>
    <row r="56" spans="1:45" ht="41.25" customHeight="1" x14ac:dyDescent="0.2">
      <c r="AM56" s="4"/>
      <c r="AN56" s="4"/>
      <c r="AO56" s="4"/>
      <c r="AP56" s="4"/>
      <c r="AQ56" s="20">
        <f t="shared" si="3"/>
        <v>0</v>
      </c>
      <c r="AR56" s="4"/>
      <c r="AS56" s="4"/>
    </row>
    <row r="57" spans="1:45" ht="41.25" customHeight="1" x14ac:dyDescent="0.2">
      <c r="AM57" s="4"/>
      <c r="AN57" s="4"/>
      <c r="AO57" s="4"/>
      <c r="AP57" s="4"/>
      <c r="AQ57" s="20">
        <f t="shared" si="3"/>
        <v>0</v>
      </c>
      <c r="AR57" s="4"/>
      <c r="AS57" s="4"/>
    </row>
    <row r="58" spans="1:45" ht="41.25" customHeight="1" x14ac:dyDescent="0.2">
      <c r="AM58" s="4"/>
      <c r="AN58" s="4"/>
      <c r="AO58" s="4"/>
      <c r="AP58" s="4"/>
      <c r="AQ58" s="20">
        <f t="shared" si="3"/>
        <v>0</v>
      </c>
      <c r="AR58" s="4"/>
      <c r="AS58" s="4"/>
    </row>
    <row r="59" spans="1:45" ht="41.25" customHeight="1" x14ac:dyDescent="0.2">
      <c r="AM59" s="4"/>
      <c r="AN59" s="4"/>
      <c r="AO59" s="4"/>
      <c r="AP59" s="4"/>
      <c r="AQ59" s="20">
        <f t="shared" si="3"/>
        <v>0</v>
      </c>
      <c r="AR59" s="4"/>
      <c r="AS59" s="4"/>
    </row>
    <row r="60" spans="1:45" ht="41.25" customHeight="1" x14ac:dyDescent="0.2">
      <c r="AM60" s="4"/>
      <c r="AN60" s="4"/>
      <c r="AO60" s="4"/>
      <c r="AP60" s="4"/>
      <c r="AQ60" s="20">
        <f t="shared" si="3"/>
        <v>0</v>
      </c>
      <c r="AR60" s="4"/>
      <c r="AS60" s="4"/>
    </row>
    <row r="61" spans="1:45" ht="41.25" customHeight="1" x14ac:dyDescent="0.2">
      <c r="AM61" s="4"/>
      <c r="AN61" s="4"/>
      <c r="AO61" s="4"/>
      <c r="AP61" s="4"/>
      <c r="AQ61" s="20">
        <f t="shared" si="3"/>
        <v>0</v>
      </c>
      <c r="AR61" s="4"/>
      <c r="AS61" s="4"/>
    </row>
    <row r="62" spans="1:45" ht="41.25" customHeight="1" x14ac:dyDescent="0.2">
      <c r="AM62" s="4"/>
      <c r="AN62" s="4"/>
      <c r="AO62" s="4"/>
      <c r="AP62" s="4"/>
      <c r="AQ62" s="20">
        <f t="shared" si="3"/>
        <v>0</v>
      </c>
      <c r="AR62" s="4"/>
      <c r="AS62" s="4"/>
    </row>
    <row r="63" spans="1:45" ht="41.25" customHeight="1" x14ac:dyDescent="0.2">
      <c r="AM63" s="4"/>
      <c r="AN63" s="4"/>
      <c r="AO63" s="4"/>
      <c r="AP63" s="4"/>
      <c r="AQ63" s="20">
        <f t="shared" si="3"/>
        <v>0</v>
      </c>
      <c r="AR63" s="4"/>
      <c r="AS63" s="4"/>
    </row>
    <row r="64" spans="1:45" ht="41.25" customHeight="1" x14ac:dyDescent="0.2">
      <c r="AM64" s="4"/>
      <c r="AN64" s="4"/>
      <c r="AO64" s="4"/>
      <c r="AP64" s="4"/>
      <c r="AQ64" s="20">
        <f t="shared" si="3"/>
        <v>0</v>
      </c>
      <c r="AR64" s="4"/>
      <c r="AS64" s="4"/>
    </row>
  </sheetData>
  <mergeCells count="28">
    <mergeCell ref="AM43:AM44"/>
    <mergeCell ref="AM47:AM49"/>
    <mergeCell ref="AM19:AM21"/>
    <mergeCell ref="AM22:AM26"/>
    <mergeCell ref="AM27:AM29"/>
    <mergeCell ref="AM30:AM34"/>
    <mergeCell ref="AM35:AM38"/>
    <mergeCell ref="AM4:AM7"/>
    <mergeCell ref="AM8:AM11"/>
    <mergeCell ref="AM12:AM14"/>
    <mergeCell ref="AM15:AM18"/>
    <mergeCell ref="AM39:AM42"/>
    <mergeCell ref="AH4:AH5"/>
    <mergeCell ref="AI4:AI5"/>
    <mergeCell ref="AH2:AJ2"/>
    <mergeCell ref="AJ4:AJ5"/>
    <mergeCell ref="T1:AK1"/>
    <mergeCell ref="AK4:AK5"/>
    <mergeCell ref="N1:R1"/>
    <mergeCell ref="C2:K2"/>
    <mergeCell ref="C1:K1"/>
    <mergeCell ref="A2:B2"/>
    <mergeCell ref="AC2:AF2"/>
    <mergeCell ref="AM2:AS2"/>
    <mergeCell ref="N2:R2"/>
    <mergeCell ref="T2:U2"/>
    <mergeCell ref="V2:W2"/>
    <mergeCell ref="X2:Z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5C0A-7EE1-455D-957D-5386238FA7FD}">
  <sheetPr>
    <tabColor rgb="FFC00000"/>
  </sheetPr>
  <dimension ref="A1:AS64"/>
  <sheetViews>
    <sheetView zoomScale="89" zoomScaleNormal="89" workbookViewId="0">
      <pane ySplit="3" topLeftCell="A32" activePane="bottomLeft" state="frozen"/>
      <selection pane="bottomLeft" activeCell="I3" sqref="I3"/>
    </sheetView>
  </sheetViews>
  <sheetFormatPr defaultColWidth="12.125" defaultRowHeight="18" x14ac:dyDescent="0.2"/>
  <cols>
    <col min="1" max="1" width="12.125" style="1"/>
    <col min="2" max="2" width="16.75" style="1" customWidth="1"/>
    <col min="3" max="5" width="12.125" style="1"/>
    <col min="6" max="6" width="13.375" style="1" customWidth="1"/>
    <col min="7" max="7" width="11.25" style="1" bestFit="1" customWidth="1"/>
    <col min="8" max="9" width="21.875" style="1" bestFit="1" customWidth="1"/>
    <col min="10" max="10" width="12.5" style="1" customWidth="1"/>
    <col min="11" max="11" width="13.25" style="1" customWidth="1"/>
    <col min="12" max="12" width="16.125" style="1" bestFit="1" customWidth="1"/>
    <col min="13" max="13" width="7.625" style="3" customWidth="1"/>
    <col min="14" max="14" width="20.875" style="1" customWidth="1"/>
    <col min="15" max="15" width="19.5" style="1" customWidth="1"/>
    <col min="16" max="16" width="18.25" style="1" customWidth="1"/>
    <col min="17" max="17" width="17.625" style="1" customWidth="1"/>
    <col min="18" max="18" width="21.375" style="1" customWidth="1"/>
    <col min="19" max="19" width="8.5" style="2" customWidth="1"/>
    <col min="20" max="20" width="15.625" style="1" customWidth="1"/>
    <col min="21" max="21" width="14.75" style="1" customWidth="1"/>
    <col min="22" max="22" width="15.375" style="1" customWidth="1"/>
    <col min="23" max="23" width="23" style="1" customWidth="1"/>
    <col min="24" max="25" width="22.625" style="1" customWidth="1"/>
    <col min="26" max="26" width="13" style="1" bestFit="1" customWidth="1"/>
    <col min="27" max="27" width="16.375" style="1" bestFit="1" customWidth="1"/>
    <col min="28" max="28" width="23.125" style="1" bestFit="1" customWidth="1"/>
    <col min="29" max="29" width="23.125" style="1" customWidth="1"/>
    <col min="30" max="30" width="12" style="1" customWidth="1"/>
    <col min="31" max="32" width="12.125" style="1"/>
    <col min="33" max="33" width="30.75" style="1" bestFit="1" customWidth="1"/>
    <col min="34" max="34" width="30.75" style="1" customWidth="1"/>
    <col min="35" max="35" width="29" style="1" bestFit="1" customWidth="1"/>
    <col min="36" max="36" width="13.75" style="1" customWidth="1"/>
    <col min="37" max="37" width="13.875" style="1" customWidth="1"/>
    <col min="38" max="38" width="10.375" style="7" customWidth="1"/>
    <col min="39" max="40" width="18.625" style="1" customWidth="1"/>
    <col min="41" max="41" width="19.125" style="1" customWidth="1"/>
    <col min="42" max="42" width="15.75" style="1" customWidth="1"/>
    <col min="43" max="43" width="16.5" style="1" customWidth="1"/>
    <col min="44" max="44" width="17.75" style="1" customWidth="1"/>
    <col min="45" max="45" width="17.375" style="1" customWidth="1"/>
    <col min="46" max="16384" width="12.125" style="1"/>
  </cols>
  <sheetData>
    <row r="1" spans="1:45" ht="41.25" customHeight="1" x14ac:dyDescent="0.2">
      <c r="A1" s="4"/>
      <c r="B1" s="9"/>
      <c r="C1" s="46" t="s">
        <v>92</v>
      </c>
      <c r="D1" s="46"/>
      <c r="E1" s="46"/>
      <c r="F1" s="46"/>
      <c r="G1" s="46"/>
      <c r="H1" s="46"/>
      <c r="I1" s="46"/>
      <c r="J1" s="46"/>
      <c r="K1" s="47"/>
      <c r="L1" s="4"/>
      <c r="N1" s="45"/>
      <c r="O1" s="46"/>
      <c r="P1" s="46"/>
      <c r="Q1" s="46"/>
      <c r="R1" s="47"/>
      <c r="T1" s="45" t="s">
        <v>26</v>
      </c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M1" s="4"/>
      <c r="AN1" s="4"/>
      <c r="AO1" s="4"/>
      <c r="AP1" s="4"/>
      <c r="AQ1" s="4"/>
      <c r="AR1" s="4"/>
      <c r="AS1" s="4"/>
    </row>
    <row r="2" spans="1:45" ht="41.25" customHeight="1" x14ac:dyDescent="0.2">
      <c r="A2" s="45" t="s">
        <v>91</v>
      </c>
      <c r="B2" s="46"/>
      <c r="C2" s="46" t="s">
        <v>93</v>
      </c>
      <c r="D2" s="46"/>
      <c r="E2" s="46"/>
      <c r="F2" s="46"/>
      <c r="G2" s="46"/>
      <c r="H2" s="46"/>
      <c r="I2" s="46"/>
      <c r="J2" s="46"/>
      <c r="K2" s="47"/>
      <c r="L2" s="4" t="s">
        <v>94</v>
      </c>
      <c r="N2" s="45" t="s">
        <v>27</v>
      </c>
      <c r="O2" s="46"/>
      <c r="P2" s="46"/>
      <c r="Q2" s="46"/>
      <c r="R2" s="47"/>
      <c r="T2" s="45" t="s">
        <v>40</v>
      </c>
      <c r="U2" s="46"/>
      <c r="V2" s="45" t="s">
        <v>41</v>
      </c>
      <c r="W2" s="47"/>
      <c r="X2" s="45">
        <v>2547</v>
      </c>
      <c r="Y2" s="46"/>
      <c r="Z2" s="47"/>
      <c r="AA2" s="6"/>
      <c r="AB2" s="6"/>
      <c r="AC2" s="46" t="s">
        <v>9</v>
      </c>
      <c r="AD2" s="46"/>
      <c r="AE2" s="46"/>
      <c r="AF2" s="47"/>
      <c r="AG2" s="4" t="s">
        <v>18</v>
      </c>
      <c r="AH2" s="45">
        <v>2451</v>
      </c>
      <c r="AI2" s="46"/>
      <c r="AJ2" s="47"/>
      <c r="AK2" s="4"/>
      <c r="AM2" s="45" t="s">
        <v>33</v>
      </c>
      <c r="AN2" s="46"/>
      <c r="AO2" s="46"/>
      <c r="AP2" s="46"/>
      <c r="AQ2" s="46"/>
      <c r="AR2" s="46"/>
      <c r="AS2" s="47"/>
    </row>
    <row r="3" spans="1:45" ht="41.2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11</v>
      </c>
      <c r="I3" s="4" t="s">
        <v>7</v>
      </c>
      <c r="J3" s="4" t="s">
        <v>8</v>
      </c>
      <c r="K3" s="4" t="s">
        <v>9</v>
      </c>
      <c r="L3" s="4" t="s">
        <v>10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T3" s="4" t="s">
        <v>1</v>
      </c>
      <c r="U3" s="4" t="s">
        <v>17</v>
      </c>
      <c r="V3" s="4" t="s">
        <v>8</v>
      </c>
      <c r="W3" s="4" t="s">
        <v>18</v>
      </c>
      <c r="X3" s="4" t="s">
        <v>19</v>
      </c>
      <c r="Y3" s="4" t="s">
        <v>8</v>
      </c>
      <c r="Z3" s="4" t="s">
        <v>38</v>
      </c>
      <c r="AA3" s="4" t="s">
        <v>25</v>
      </c>
      <c r="AB3" s="4" t="s">
        <v>18</v>
      </c>
      <c r="AC3" s="4" t="s">
        <v>23</v>
      </c>
      <c r="AD3" s="4" t="s">
        <v>20</v>
      </c>
      <c r="AE3" s="4" t="s">
        <v>21</v>
      </c>
      <c r="AF3" s="4" t="s">
        <v>22</v>
      </c>
      <c r="AG3" s="4" t="s">
        <v>43</v>
      </c>
      <c r="AH3" s="4" t="s">
        <v>7</v>
      </c>
      <c r="AI3" s="4" t="s">
        <v>44</v>
      </c>
      <c r="AJ3" s="4" t="s">
        <v>8</v>
      </c>
      <c r="AK3" s="4" t="s">
        <v>24</v>
      </c>
      <c r="AM3" s="4" t="s">
        <v>28</v>
      </c>
      <c r="AN3" s="4" t="s">
        <v>29</v>
      </c>
      <c r="AO3" s="4" t="s">
        <v>14</v>
      </c>
      <c r="AP3" s="4" t="s">
        <v>30</v>
      </c>
      <c r="AQ3" s="4" t="s">
        <v>31</v>
      </c>
      <c r="AR3" s="4" t="s">
        <v>32</v>
      </c>
      <c r="AS3" s="4" t="s">
        <v>16</v>
      </c>
    </row>
    <row r="4" spans="1:45" ht="41.25" customHeight="1" x14ac:dyDescent="0.2">
      <c r="A4" s="4">
        <v>1</v>
      </c>
      <c r="B4" s="10">
        <v>45854</v>
      </c>
      <c r="C4" s="4">
        <v>10</v>
      </c>
      <c r="D4" s="4"/>
      <c r="E4" s="4">
        <f>D4+C4+C5</f>
        <v>10</v>
      </c>
      <c r="F4" s="4">
        <v>9.5</v>
      </c>
      <c r="G4" s="4"/>
      <c r="H4" s="4">
        <v>0.5</v>
      </c>
      <c r="I4" s="4">
        <f>E4-F4-G4</f>
        <v>0.5</v>
      </c>
      <c r="J4" s="4"/>
      <c r="K4" s="4">
        <v>2</v>
      </c>
      <c r="L4" s="4">
        <v>2</v>
      </c>
      <c r="N4" s="4"/>
      <c r="O4" s="4"/>
      <c r="P4" s="4"/>
      <c r="Q4" s="4"/>
      <c r="R4" s="4"/>
      <c r="T4" s="16">
        <v>45891</v>
      </c>
      <c r="U4" s="4">
        <v>1207</v>
      </c>
      <c r="V4" s="4">
        <v>1905.1</v>
      </c>
      <c r="W4" s="4">
        <v>1207</v>
      </c>
      <c r="X4" s="4">
        <v>1905.1</v>
      </c>
      <c r="Y4" s="4">
        <f>X4/W4</f>
        <v>1.5783761391880695</v>
      </c>
      <c r="Z4" s="4">
        <v>88</v>
      </c>
      <c r="AA4" s="4">
        <f>Z4*100/X2</f>
        <v>3.4550451511582252</v>
      </c>
      <c r="AB4" s="4">
        <v>2451</v>
      </c>
      <c r="AC4" s="4">
        <f>AB4+Z4-X2</f>
        <v>-8</v>
      </c>
      <c r="AD4" s="4">
        <v>20</v>
      </c>
      <c r="AE4" s="4">
        <v>18</v>
      </c>
      <c r="AF4" s="4">
        <v>12</v>
      </c>
      <c r="AG4" s="4">
        <v>3647.1</v>
      </c>
      <c r="AH4" s="42">
        <v>185</v>
      </c>
      <c r="AI4" s="42">
        <f>AH4*30.76</f>
        <v>5690.6</v>
      </c>
      <c r="AJ4" s="42">
        <f>AG4/AH2</f>
        <v>1.4880048959608323</v>
      </c>
      <c r="AK4" s="42">
        <f>AI4/AG5</f>
        <v>1.5483361902429735</v>
      </c>
      <c r="AM4" s="42" t="s">
        <v>49</v>
      </c>
      <c r="AN4" s="4" t="s">
        <v>45</v>
      </c>
      <c r="AO4" s="20">
        <v>37</v>
      </c>
      <c r="AP4" s="4">
        <v>4</v>
      </c>
      <c r="AQ4" s="20">
        <f>AO4*AP4</f>
        <v>148</v>
      </c>
      <c r="AR4" s="4"/>
      <c r="AS4" s="4"/>
    </row>
    <row r="5" spans="1:45" ht="41.25" customHeight="1" x14ac:dyDescent="0.2">
      <c r="A5" s="4">
        <v>2</v>
      </c>
      <c r="B5" s="10">
        <v>45855</v>
      </c>
      <c r="C5" s="4"/>
      <c r="D5" s="4"/>
      <c r="E5" s="4">
        <v>10</v>
      </c>
      <c r="F5" s="4">
        <v>9</v>
      </c>
      <c r="G5" s="4"/>
      <c r="H5" s="4">
        <f>I5-I4</f>
        <v>0.5</v>
      </c>
      <c r="I5" s="4">
        <f t="shared" ref="I5:I53" si="0">E5-F5-G5</f>
        <v>1</v>
      </c>
      <c r="J5" s="4"/>
      <c r="K5" s="4">
        <v>4</v>
      </c>
      <c r="L5" s="4">
        <f>L4+K5</f>
        <v>6</v>
      </c>
      <c r="N5" s="4"/>
      <c r="O5" s="4"/>
      <c r="P5" s="4"/>
      <c r="Q5" s="4"/>
      <c r="R5" s="4"/>
      <c r="T5" s="16">
        <v>45892</v>
      </c>
      <c r="U5" s="12">
        <v>760</v>
      </c>
      <c r="V5" s="4">
        <v>1122.8</v>
      </c>
      <c r="W5" s="4">
        <f>W4+U5</f>
        <v>1967</v>
      </c>
      <c r="X5" s="4">
        <f>X4+V5</f>
        <v>3027.8999999999996</v>
      </c>
      <c r="Y5" s="4">
        <f t="shared" ref="Y5:Y53" si="1">X5/W5</f>
        <v>1.5393492628368071</v>
      </c>
      <c r="Z5" s="4"/>
      <c r="AA5" s="4"/>
      <c r="AB5" s="4"/>
      <c r="AC5" s="4"/>
      <c r="AD5" s="4">
        <f>AD4*0.3</f>
        <v>6</v>
      </c>
      <c r="AE5" s="4">
        <f>AE4*0.7</f>
        <v>12.6</v>
      </c>
      <c r="AF5" s="4">
        <f>AF4*0.8</f>
        <v>9.6000000000000014</v>
      </c>
      <c r="AG5" s="4">
        <f>AG4+AD5+AE5+AF5</f>
        <v>3675.2999999999997</v>
      </c>
      <c r="AH5" s="44"/>
      <c r="AI5" s="44"/>
      <c r="AJ5" s="44"/>
      <c r="AK5" s="44"/>
      <c r="AM5" s="43"/>
      <c r="AN5" s="4" t="s">
        <v>77</v>
      </c>
      <c r="AO5" s="20">
        <v>25</v>
      </c>
      <c r="AP5" s="4">
        <v>4</v>
      </c>
      <c r="AQ5" s="20">
        <f t="shared" ref="AQ5:AQ64" si="2">AO5*AP5</f>
        <v>100</v>
      </c>
      <c r="AR5" s="4"/>
      <c r="AS5" s="4"/>
    </row>
    <row r="6" spans="1:45" ht="41.25" customHeight="1" x14ac:dyDescent="0.2">
      <c r="A6" s="4">
        <v>3</v>
      </c>
      <c r="B6" s="10">
        <v>45856</v>
      </c>
      <c r="C6" s="4"/>
      <c r="D6" s="4"/>
      <c r="E6" s="4">
        <v>10</v>
      </c>
      <c r="F6" s="4">
        <v>8</v>
      </c>
      <c r="G6" s="4"/>
      <c r="H6" s="4">
        <f t="shared" ref="H6:H53" si="3">I6-I5</f>
        <v>1</v>
      </c>
      <c r="I6" s="4">
        <f t="shared" si="0"/>
        <v>2</v>
      </c>
      <c r="J6" s="4"/>
      <c r="K6" s="4"/>
      <c r="L6" s="4">
        <f t="shared" ref="L6:L53" si="4">L5+K6</f>
        <v>6</v>
      </c>
      <c r="N6" s="4"/>
      <c r="O6" s="4"/>
      <c r="P6" s="4"/>
      <c r="Q6" s="4"/>
      <c r="R6" s="4"/>
      <c r="T6" s="16">
        <v>45894</v>
      </c>
      <c r="U6" s="4">
        <v>325</v>
      </c>
      <c r="V6" s="4">
        <v>418.55</v>
      </c>
      <c r="W6" s="4">
        <f t="shared" ref="W6:W7" si="5">W5+U6</f>
        <v>2292</v>
      </c>
      <c r="X6" s="4">
        <f t="shared" ref="X6:X53" si="6">X5+V6</f>
        <v>3446.45</v>
      </c>
      <c r="Y6" s="4">
        <f t="shared" si="1"/>
        <v>1.5036867364746944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M6" s="43"/>
      <c r="AN6" s="4" t="s">
        <v>47</v>
      </c>
      <c r="AO6" s="20">
        <v>25</v>
      </c>
      <c r="AP6" s="4">
        <v>4</v>
      </c>
      <c r="AQ6" s="20">
        <f t="shared" si="2"/>
        <v>100</v>
      </c>
      <c r="AR6" s="4"/>
      <c r="AS6" s="4"/>
    </row>
    <row r="7" spans="1:45" ht="41.25" customHeight="1" x14ac:dyDescent="0.2">
      <c r="A7" s="4">
        <v>4</v>
      </c>
      <c r="B7" s="10">
        <v>45857</v>
      </c>
      <c r="C7" s="4"/>
      <c r="D7" s="4"/>
      <c r="E7" s="4">
        <v>10</v>
      </c>
      <c r="F7" s="4">
        <v>7</v>
      </c>
      <c r="G7" s="4"/>
      <c r="H7" s="4">
        <f t="shared" si="3"/>
        <v>1</v>
      </c>
      <c r="I7" s="4">
        <f t="shared" si="0"/>
        <v>3</v>
      </c>
      <c r="J7" s="4"/>
      <c r="K7" s="4">
        <v>3</v>
      </c>
      <c r="L7" s="4">
        <f t="shared" si="4"/>
        <v>9</v>
      </c>
      <c r="N7" s="4"/>
      <c r="O7" s="4"/>
      <c r="P7" s="4"/>
      <c r="Q7" s="4"/>
      <c r="R7" s="4"/>
      <c r="T7" s="16">
        <v>45895</v>
      </c>
      <c r="U7" s="4">
        <v>159</v>
      </c>
      <c r="V7" s="4">
        <v>200.65</v>
      </c>
      <c r="W7" s="4">
        <f t="shared" si="5"/>
        <v>2451</v>
      </c>
      <c r="X7" s="4">
        <f t="shared" si="6"/>
        <v>3647.1</v>
      </c>
      <c r="Y7" s="4">
        <f t="shared" si="1"/>
        <v>1.4880048959608323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M7" s="44"/>
      <c r="AN7" s="4" t="s">
        <v>48</v>
      </c>
      <c r="AO7" s="11">
        <v>25</v>
      </c>
      <c r="AP7" s="4">
        <v>4</v>
      </c>
      <c r="AQ7" s="11">
        <f t="shared" si="2"/>
        <v>100</v>
      </c>
      <c r="AR7" s="4"/>
      <c r="AS7" s="4"/>
    </row>
    <row r="8" spans="1:45" ht="41.25" customHeight="1" x14ac:dyDescent="0.2">
      <c r="A8" s="4">
        <v>5</v>
      </c>
      <c r="B8" s="10">
        <v>45858</v>
      </c>
      <c r="C8" s="4"/>
      <c r="D8" s="4"/>
      <c r="E8" s="4">
        <v>10</v>
      </c>
      <c r="F8" s="4">
        <v>5.5</v>
      </c>
      <c r="G8" s="4"/>
      <c r="H8" s="4">
        <f t="shared" si="3"/>
        <v>1.5</v>
      </c>
      <c r="I8" s="4">
        <f t="shared" si="0"/>
        <v>4.5</v>
      </c>
      <c r="J8" s="4"/>
      <c r="K8" s="4">
        <v>3</v>
      </c>
      <c r="L8" s="4">
        <f t="shared" si="4"/>
        <v>12</v>
      </c>
      <c r="N8" s="4"/>
      <c r="O8" s="4"/>
      <c r="P8" s="4"/>
      <c r="Q8" s="4"/>
      <c r="U8" s="4"/>
      <c r="V8" s="4"/>
      <c r="W8" s="4">
        <f t="shared" ref="W8:W53" si="7">U8+U9</f>
        <v>0</v>
      </c>
      <c r="X8" s="4">
        <f t="shared" si="6"/>
        <v>3647.1</v>
      </c>
      <c r="Y8" s="4" t="e">
        <f t="shared" si="1"/>
        <v>#DIV/0!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M8" s="42" t="s">
        <v>52</v>
      </c>
      <c r="AN8" s="4" t="s">
        <v>50</v>
      </c>
      <c r="AO8" s="11">
        <v>22</v>
      </c>
      <c r="AP8" s="4">
        <v>3</v>
      </c>
      <c r="AQ8" s="11">
        <f t="shared" si="2"/>
        <v>66</v>
      </c>
      <c r="AR8" s="4"/>
    </row>
    <row r="9" spans="1:45" ht="41.25" customHeight="1" x14ac:dyDescent="0.2">
      <c r="A9" s="4">
        <v>6</v>
      </c>
      <c r="B9" s="10">
        <v>45859</v>
      </c>
      <c r="C9" s="4"/>
      <c r="D9" s="4"/>
      <c r="E9" s="4">
        <v>10</v>
      </c>
      <c r="F9" s="4">
        <v>4</v>
      </c>
      <c r="G9" s="4"/>
      <c r="H9" s="4">
        <f t="shared" si="3"/>
        <v>1.5</v>
      </c>
      <c r="I9" s="4">
        <f t="shared" si="0"/>
        <v>6</v>
      </c>
      <c r="J9" s="4"/>
      <c r="K9" s="4"/>
      <c r="L9" s="4">
        <f t="shared" si="4"/>
        <v>12</v>
      </c>
      <c r="N9" s="4"/>
      <c r="O9" s="4"/>
      <c r="P9" s="4"/>
      <c r="Q9" s="4"/>
      <c r="R9" s="4"/>
      <c r="T9" s="16"/>
      <c r="U9" s="4"/>
      <c r="V9" s="4"/>
      <c r="W9" s="4">
        <f t="shared" si="7"/>
        <v>0</v>
      </c>
      <c r="X9" s="4">
        <f t="shared" si="6"/>
        <v>3647.1</v>
      </c>
      <c r="Y9" s="4" t="e">
        <f t="shared" si="1"/>
        <v>#DIV/0!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M9" s="43"/>
      <c r="AN9" s="4" t="s">
        <v>51</v>
      </c>
      <c r="AO9" s="11">
        <v>15</v>
      </c>
      <c r="AP9" s="4">
        <v>3</v>
      </c>
      <c r="AQ9" s="11">
        <f t="shared" si="2"/>
        <v>45</v>
      </c>
      <c r="AR9" s="4"/>
      <c r="AS9" s="4"/>
    </row>
    <row r="10" spans="1:45" ht="41.25" customHeight="1" x14ac:dyDescent="0.2">
      <c r="A10" s="4">
        <v>7</v>
      </c>
      <c r="B10" s="10">
        <v>45860</v>
      </c>
      <c r="C10" s="4">
        <v>10</v>
      </c>
      <c r="D10" s="4"/>
      <c r="E10" s="4">
        <f>E9+C10+D10</f>
        <v>20</v>
      </c>
      <c r="F10" s="4">
        <v>13</v>
      </c>
      <c r="G10" s="4"/>
      <c r="H10" s="4">
        <f>I10-I9</f>
        <v>1</v>
      </c>
      <c r="I10" s="4">
        <f t="shared" si="0"/>
        <v>7</v>
      </c>
      <c r="J10" s="4"/>
      <c r="K10" s="4"/>
      <c r="L10" s="4">
        <f t="shared" si="4"/>
        <v>12</v>
      </c>
      <c r="N10" s="4"/>
      <c r="O10" s="4"/>
      <c r="P10" s="4"/>
      <c r="Q10" s="4"/>
      <c r="R10" s="4"/>
      <c r="T10" s="4"/>
      <c r="U10" s="4"/>
      <c r="V10" s="4"/>
      <c r="W10" s="4">
        <f t="shared" si="7"/>
        <v>0</v>
      </c>
      <c r="X10" s="4">
        <f t="shared" si="6"/>
        <v>3647.1</v>
      </c>
      <c r="Y10" s="4" t="e">
        <f t="shared" si="1"/>
        <v>#DIV/0!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M10" s="44"/>
      <c r="AN10" s="4" t="s">
        <v>58</v>
      </c>
      <c r="AO10" s="20">
        <v>15</v>
      </c>
      <c r="AP10" s="4">
        <v>3</v>
      </c>
      <c r="AQ10" s="20">
        <f t="shared" si="2"/>
        <v>45</v>
      </c>
      <c r="AR10" s="4"/>
      <c r="AS10" s="4"/>
    </row>
    <row r="11" spans="1:45" ht="41.25" customHeight="1" x14ac:dyDescent="0.2">
      <c r="A11" s="4">
        <v>8</v>
      </c>
      <c r="B11" s="10">
        <v>45861</v>
      </c>
      <c r="C11" s="4"/>
      <c r="D11" s="4"/>
      <c r="E11" s="4">
        <f t="shared" ref="E11:E53" si="8">E10+C11+D11</f>
        <v>20</v>
      </c>
      <c r="F11" s="4">
        <v>11</v>
      </c>
      <c r="G11" s="4"/>
      <c r="H11" s="4">
        <f t="shared" si="3"/>
        <v>2</v>
      </c>
      <c r="I11" s="4">
        <f t="shared" si="0"/>
        <v>9</v>
      </c>
      <c r="J11" s="4"/>
      <c r="K11" s="4">
        <v>2</v>
      </c>
      <c r="L11" s="4">
        <f t="shared" si="4"/>
        <v>14</v>
      </c>
      <c r="N11" s="4"/>
      <c r="O11" s="4"/>
      <c r="P11" s="4"/>
      <c r="Q11" s="4"/>
      <c r="R11" s="4"/>
      <c r="T11" s="4"/>
      <c r="U11" s="4"/>
      <c r="V11" s="4"/>
      <c r="W11" s="4">
        <f t="shared" si="7"/>
        <v>0</v>
      </c>
      <c r="X11" s="4">
        <f t="shared" si="6"/>
        <v>3647.1</v>
      </c>
      <c r="Y11" s="4" t="e">
        <f t="shared" si="1"/>
        <v>#DIV/0!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M11" s="42" t="s">
        <v>83</v>
      </c>
      <c r="AN11" s="4" t="s">
        <v>47</v>
      </c>
      <c r="AO11" s="20">
        <v>90</v>
      </c>
      <c r="AP11" s="4">
        <v>2</v>
      </c>
      <c r="AQ11" s="20">
        <f t="shared" si="2"/>
        <v>180</v>
      </c>
      <c r="AR11" s="4"/>
      <c r="AS11" s="4"/>
    </row>
    <row r="12" spans="1:45" ht="41.25" customHeight="1" x14ac:dyDescent="0.2">
      <c r="A12" s="4">
        <v>9</v>
      </c>
      <c r="B12" s="10">
        <v>45862</v>
      </c>
      <c r="C12" s="4"/>
      <c r="D12" s="4"/>
      <c r="E12" s="4">
        <f t="shared" si="8"/>
        <v>20</v>
      </c>
      <c r="F12" s="4">
        <v>8</v>
      </c>
      <c r="G12" s="4"/>
      <c r="H12" s="4">
        <f t="shared" si="3"/>
        <v>3</v>
      </c>
      <c r="I12" s="4">
        <f t="shared" si="0"/>
        <v>12</v>
      </c>
      <c r="J12" s="4"/>
      <c r="K12" s="4">
        <v>2</v>
      </c>
      <c r="L12" s="4">
        <f t="shared" si="4"/>
        <v>16</v>
      </c>
      <c r="N12" s="4"/>
      <c r="O12" s="4"/>
      <c r="P12" s="4"/>
      <c r="Q12" s="4"/>
      <c r="R12" s="4"/>
      <c r="T12" s="4"/>
      <c r="U12" s="4"/>
      <c r="V12" s="4"/>
      <c r="W12" s="4">
        <f t="shared" si="7"/>
        <v>0</v>
      </c>
      <c r="X12" s="4">
        <f t="shared" si="6"/>
        <v>3647.1</v>
      </c>
      <c r="Y12" s="4" t="e">
        <f t="shared" si="1"/>
        <v>#DIV/0!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M12" s="44"/>
      <c r="AN12" s="4" t="s">
        <v>61</v>
      </c>
      <c r="AO12" s="20">
        <v>20</v>
      </c>
      <c r="AP12" s="4">
        <v>2</v>
      </c>
      <c r="AQ12" s="20">
        <f t="shared" si="2"/>
        <v>40</v>
      </c>
      <c r="AR12" s="4"/>
      <c r="AS12" s="4"/>
    </row>
    <row r="13" spans="1:45" ht="41.25" customHeight="1" x14ac:dyDescent="0.2">
      <c r="A13" s="4">
        <v>10</v>
      </c>
      <c r="B13" s="10">
        <v>45863</v>
      </c>
      <c r="C13" s="4">
        <v>7</v>
      </c>
      <c r="D13" s="4"/>
      <c r="E13" s="4">
        <f t="shared" si="8"/>
        <v>27</v>
      </c>
      <c r="F13" s="4">
        <v>12</v>
      </c>
      <c r="G13" s="4"/>
      <c r="H13" s="4">
        <f t="shared" si="3"/>
        <v>3</v>
      </c>
      <c r="I13" s="4">
        <f t="shared" si="0"/>
        <v>15</v>
      </c>
      <c r="J13" s="4"/>
      <c r="K13" s="4">
        <v>5</v>
      </c>
      <c r="L13" s="4">
        <f t="shared" si="4"/>
        <v>21</v>
      </c>
      <c r="N13" s="4"/>
      <c r="O13" s="4"/>
      <c r="P13" s="4"/>
      <c r="Q13" s="4"/>
      <c r="R13" s="4"/>
      <c r="T13" s="4"/>
      <c r="U13" s="4"/>
      <c r="V13" s="4"/>
      <c r="W13" s="4">
        <f t="shared" si="7"/>
        <v>0</v>
      </c>
      <c r="X13" s="4">
        <f t="shared" si="6"/>
        <v>3647.1</v>
      </c>
      <c r="Y13" s="4" t="e">
        <f t="shared" si="1"/>
        <v>#DIV/0!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M13" s="42">
        <v>10</v>
      </c>
      <c r="AN13" s="4" t="s">
        <v>84</v>
      </c>
      <c r="AO13" s="20">
        <v>75</v>
      </c>
      <c r="AP13" s="4">
        <v>1</v>
      </c>
      <c r="AQ13" s="20">
        <f t="shared" si="2"/>
        <v>75</v>
      </c>
      <c r="AR13" s="4"/>
      <c r="AS13" s="4"/>
    </row>
    <row r="14" spans="1:45" ht="41.25" customHeight="1" x14ac:dyDescent="0.2">
      <c r="A14" s="4">
        <v>11</v>
      </c>
      <c r="B14" s="10">
        <v>45864</v>
      </c>
      <c r="C14" s="4"/>
      <c r="D14" s="4"/>
      <c r="E14" s="4">
        <f t="shared" si="8"/>
        <v>27</v>
      </c>
      <c r="F14" s="4">
        <v>9</v>
      </c>
      <c r="G14" s="4"/>
      <c r="H14" s="4">
        <f t="shared" si="3"/>
        <v>3</v>
      </c>
      <c r="I14" s="4">
        <f t="shared" si="0"/>
        <v>18</v>
      </c>
      <c r="J14" s="4"/>
      <c r="K14" s="4">
        <v>2</v>
      </c>
      <c r="L14" s="4">
        <f t="shared" si="4"/>
        <v>23</v>
      </c>
      <c r="N14" s="4"/>
      <c r="O14" s="4"/>
      <c r="P14" s="4"/>
      <c r="Q14" s="4"/>
      <c r="R14" s="4"/>
      <c r="T14" s="4"/>
      <c r="U14" s="4"/>
      <c r="V14" s="4"/>
      <c r="W14" s="4">
        <f t="shared" si="7"/>
        <v>0</v>
      </c>
      <c r="X14" s="4">
        <f t="shared" si="6"/>
        <v>3647.1</v>
      </c>
      <c r="Y14" s="4" t="e">
        <f t="shared" si="1"/>
        <v>#DIV/0!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M14" s="43"/>
      <c r="AN14" s="4" t="s">
        <v>85</v>
      </c>
      <c r="AO14" s="20">
        <v>0.5</v>
      </c>
      <c r="AP14" s="4">
        <v>1</v>
      </c>
      <c r="AQ14" s="20">
        <f t="shared" si="2"/>
        <v>0.5</v>
      </c>
      <c r="AR14" s="4"/>
      <c r="AS14" s="4"/>
    </row>
    <row r="15" spans="1:45" ht="41.25" customHeight="1" x14ac:dyDescent="0.2">
      <c r="A15" s="4">
        <v>12</v>
      </c>
      <c r="B15" s="10">
        <v>45865</v>
      </c>
      <c r="C15" s="4"/>
      <c r="D15" s="4"/>
      <c r="E15" s="4">
        <f t="shared" si="8"/>
        <v>27</v>
      </c>
      <c r="F15" s="4">
        <v>5.5</v>
      </c>
      <c r="G15" s="4"/>
      <c r="H15" s="4">
        <f t="shared" si="3"/>
        <v>3.5</v>
      </c>
      <c r="I15" s="4">
        <f t="shared" si="0"/>
        <v>21.5</v>
      </c>
      <c r="J15" s="4"/>
      <c r="K15" s="4">
        <v>2</v>
      </c>
      <c r="L15" s="4">
        <f t="shared" si="4"/>
        <v>25</v>
      </c>
      <c r="N15" s="4"/>
      <c r="O15" s="4"/>
      <c r="P15" s="4"/>
      <c r="Q15" s="4"/>
      <c r="R15" s="4"/>
      <c r="T15" s="4"/>
      <c r="U15" s="4"/>
      <c r="V15" s="4"/>
      <c r="W15" s="4">
        <f t="shared" si="7"/>
        <v>0</v>
      </c>
      <c r="X15" s="4">
        <f t="shared" si="6"/>
        <v>3647.1</v>
      </c>
      <c r="Y15" s="4" t="e">
        <f t="shared" si="1"/>
        <v>#DIV/0!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M15" s="43"/>
      <c r="AN15" s="4" t="s">
        <v>67</v>
      </c>
      <c r="AO15" s="21">
        <v>1.5</v>
      </c>
      <c r="AP15" s="4">
        <v>1</v>
      </c>
      <c r="AQ15" s="21">
        <f t="shared" si="2"/>
        <v>1.5</v>
      </c>
      <c r="AR15" s="4"/>
      <c r="AS15" s="4"/>
    </row>
    <row r="16" spans="1:45" ht="41.25" customHeight="1" x14ac:dyDescent="0.2">
      <c r="A16" s="4">
        <v>13</v>
      </c>
      <c r="B16" s="10">
        <v>45866</v>
      </c>
      <c r="C16" s="4">
        <v>8</v>
      </c>
      <c r="D16" s="4"/>
      <c r="E16" s="4">
        <f t="shared" si="8"/>
        <v>35</v>
      </c>
      <c r="F16" s="4">
        <v>10.5</v>
      </c>
      <c r="G16" s="4"/>
      <c r="H16" s="4">
        <f t="shared" si="3"/>
        <v>3</v>
      </c>
      <c r="I16" s="4">
        <f t="shared" si="0"/>
        <v>24.5</v>
      </c>
      <c r="J16" s="4"/>
      <c r="K16" s="4">
        <v>5</v>
      </c>
      <c r="L16" s="4">
        <f t="shared" si="4"/>
        <v>30</v>
      </c>
      <c r="N16" s="4"/>
      <c r="O16" s="4"/>
      <c r="P16" s="4"/>
      <c r="Q16" s="4"/>
      <c r="R16" s="4"/>
      <c r="T16" s="4"/>
      <c r="U16" s="4"/>
      <c r="V16" s="4"/>
      <c r="W16" s="4">
        <f t="shared" si="7"/>
        <v>0</v>
      </c>
      <c r="X16" s="4">
        <f t="shared" si="6"/>
        <v>3647.1</v>
      </c>
      <c r="Y16" s="4" t="e">
        <f t="shared" si="1"/>
        <v>#DIV/0!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M16" s="44"/>
      <c r="AN16" s="4" t="s">
        <v>48</v>
      </c>
      <c r="AO16" s="11">
        <v>60</v>
      </c>
      <c r="AP16" s="4">
        <v>1</v>
      </c>
      <c r="AQ16" s="11">
        <f t="shared" si="2"/>
        <v>60</v>
      </c>
      <c r="AR16" s="4"/>
      <c r="AS16" s="4"/>
    </row>
    <row r="17" spans="1:45" ht="41.25" customHeight="1" x14ac:dyDescent="0.2">
      <c r="A17" s="4">
        <v>14</v>
      </c>
      <c r="B17" s="10">
        <v>45867</v>
      </c>
      <c r="C17" s="4"/>
      <c r="D17" s="4"/>
      <c r="E17" s="4">
        <f t="shared" si="8"/>
        <v>35</v>
      </c>
      <c r="F17" s="4">
        <v>7</v>
      </c>
      <c r="G17" s="4"/>
      <c r="H17" s="4">
        <f t="shared" si="3"/>
        <v>3.5</v>
      </c>
      <c r="I17" s="4">
        <f t="shared" si="0"/>
        <v>28</v>
      </c>
      <c r="J17" s="4"/>
      <c r="K17" s="4">
        <v>1</v>
      </c>
      <c r="L17" s="4">
        <f t="shared" si="4"/>
        <v>31</v>
      </c>
      <c r="N17" s="4"/>
      <c r="O17" s="4"/>
      <c r="P17" s="4"/>
      <c r="Q17" s="4"/>
      <c r="R17" s="4"/>
      <c r="T17" s="4"/>
      <c r="U17" s="4"/>
      <c r="V17" s="4"/>
      <c r="W17" s="4">
        <f t="shared" si="7"/>
        <v>0</v>
      </c>
      <c r="X17" s="4">
        <f t="shared" si="6"/>
        <v>3647.1</v>
      </c>
      <c r="Y17" s="4" t="e">
        <f t="shared" si="1"/>
        <v>#DIV/0!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M17" s="42">
        <v>11</v>
      </c>
      <c r="AN17" s="4" t="s">
        <v>84</v>
      </c>
      <c r="AO17" s="20">
        <v>75</v>
      </c>
      <c r="AP17" s="4">
        <v>1</v>
      </c>
      <c r="AQ17" s="20">
        <f t="shared" si="2"/>
        <v>75</v>
      </c>
      <c r="AR17" s="4"/>
      <c r="AS17" s="4"/>
    </row>
    <row r="18" spans="1:45" ht="41.25" customHeight="1" x14ac:dyDescent="0.2">
      <c r="A18" s="4">
        <v>15</v>
      </c>
      <c r="B18" s="10">
        <v>45868</v>
      </c>
      <c r="C18" s="4"/>
      <c r="D18" s="4"/>
      <c r="E18" s="4">
        <f t="shared" si="8"/>
        <v>35</v>
      </c>
      <c r="F18" s="4">
        <v>3.5</v>
      </c>
      <c r="G18" s="4"/>
      <c r="H18" s="4">
        <f t="shared" si="3"/>
        <v>3.5</v>
      </c>
      <c r="I18" s="4">
        <f t="shared" si="0"/>
        <v>31.5</v>
      </c>
      <c r="J18" s="4"/>
      <c r="K18" s="4">
        <v>4</v>
      </c>
      <c r="L18" s="4">
        <f t="shared" si="4"/>
        <v>35</v>
      </c>
      <c r="N18" s="4"/>
      <c r="O18" s="4"/>
      <c r="P18" s="4"/>
      <c r="Q18" s="4"/>
      <c r="R18" s="4"/>
      <c r="T18" s="4"/>
      <c r="U18" s="4"/>
      <c r="V18" s="4"/>
      <c r="W18" s="4">
        <f t="shared" si="7"/>
        <v>0</v>
      </c>
      <c r="X18" s="4">
        <f t="shared" si="6"/>
        <v>3647.1</v>
      </c>
      <c r="Y18" s="4" t="e">
        <f t="shared" si="1"/>
        <v>#DIV/0!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M18" s="43"/>
      <c r="AN18" s="4" t="s">
        <v>85</v>
      </c>
      <c r="AO18" s="4">
        <v>0.5</v>
      </c>
      <c r="AP18" s="4">
        <v>1</v>
      </c>
      <c r="AQ18" s="4">
        <f t="shared" si="2"/>
        <v>0.5</v>
      </c>
      <c r="AR18" s="4"/>
      <c r="AS18" s="4"/>
    </row>
    <row r="19" spans="1:45" ht="41.25" customHeight="1" x14ac:dyDescent="0.2">
      <c r="A19" s="4">
        <v>16</v>
      </c>
      <c r="B19" s="10">
        <v>45869</v>
      </c>
      <c r="C19" s="4">
        <v>10</v>
      </c>
      <c r="D19" s="4"/>
      <c r="E19" s="4">
        <f t="shared" si="8"/>
        <v>45</v>
      </c>
      <c r="F19" s="4">
        <v>10</v>
      </c>
      <c r="G19" s="4"/>
      <c r="H19" s="4">
        <f t="shared" si="3"/>
        <v>3.5</v>
      </c>
      <c r="I19" s="4">
        <f t="shared" si="0"/>
        <v>35</v>
      </c>
      <c r="J19" s="4"/>
      <c r="K19" s="4">
        <v>1</v>
      </c>
      <c r="L19" s="4">
        <f t="shared" si="4"/>
        <v>36</v>
      </c>
      <c r="N19" s="4"/>
      <c r="O19" s="4"/>
      <c r="P19" s="4"/>
      <c r="Q19" s="4"/>
      <c r="R19" s="4"/>
      <c r="T19" s="4"/>
      <c r="U19" s="4"/>
      <c r="V19" s="4"/>
      <c r="W19" s="4">
        <f t="shared" si="7"/>
        <v>0</v>
      </c>
      <c r="X19" s="4">
        <f t="shared" si="6"/>
        <v>3647.1</v>
      </c>
      <c r="Y19" s="4" t="e">
        <f t="shared" si="1"/>
        <v>#DIV/0!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M19" s="43"/>
      <c r="AN19" s="4" t="s">
        <v>62</v>
      </c>
      <c r="AO19" s="4">
        <v>3</v>
      </c>
      <c r="AP19" s="4">
        <v>1</v>
      </c>
      <c r="AQ19" s="4">
        <f t="shared" si="2"/>
        <v>3</v>
      </c>
      <c r="AR19" s="4"/>
      <c r="AS19" s="4"/>
    </row>
    <row r="20" spans="1:45" ht="41.25" customHeight="1" x14ac:dyDescent="0.2">
      <c r="A20" s="4">
        <v>17</v>
      </c>
      <c r="B20" s="10">
        <v>45870</v>
      </c>
      <c r="C20" s="4">
        <v>5</v>
      </c>
      <c r="D20" s="4"/>
      <c r="E20" s="4">
        <f t="shared" si="8"/>
        <v>50</v>
      </c>
      <c r="F20" s="4">
        <v>10.5</v>
      </c>
      <c r="G20" s="4"/>
      <c r="H20" s="4">
        <f t="shared" si="3"/>
        <v>4.5</v>
      </c>
      <c r="I20" s="4">
        <f t="shared" si="0"/>
        <v>39.5</v>
      </c>
      <c r="J20" s="4"/>
      <c r="K20" s="4"/>
      <c r="L20" s="4">
        <f t="shared" si="4"/>
        <v>36</v>
      </c>
      <c r="N20" s="4"/>
      <c r="O20" s="4"/>
      <c r="P20" s="4"/>
      <c r="Q20" s="4"/>
      <c r="R20" s="4"/>
      <c r="T20" s="4"/>
      <c r="U20" s="4"/>
      <c r="V20" s="4"/>
      <c r="W20" s="4">
        <f t="shared" si="7"/>
        <v>0</v>
      </c>
      <c r="X20" s="4">
        <f t="shared" si="6"/>
        <v>3647.1</v>
      </c>
      <c r="Y20" s="4" t="e">
        <f t="shared" si="1"/>
        <v>#DIV/0!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M20" s="44"/>
      <c r="AN20" s="4" t="s">
        <v>63</v>
      </c>
      <c r="AO20" s="11">
        <v>150</v>
      </c>
      <c r="AP20" s="4">
        <v>1</v>
      </c>
      <c r="AQ20" s="11">
        <f t="shared" si="2"/>
        <v>150</v>
      </c>
      <c r="AR20" s="4"/>
      <c r="AS20" s="4"/>
    </row>
    <row r="21" spans="1:45" ht="41.25" customHeight="1" x14ac:dyDescent="0.2">
      <c r="A21" s="4">
        <v>18</v>
      </c>
      <c r="B21" s="10">
        <v>45871</v>
      </c>
      <c r="C21" s="4"/>
      <c r="D21" s="4"/>
      <c r="E21" s="4">
        <f t="shared" si="8"/>
        <v>50</v>
      </c>
      <c r="F21" s="4">
        <v>5.5</v>
      </c>
      <c r="G21" s="4"/>
      <c r="H21" s="4">
        <f t="shared" si="3"/>
        <v>5</v>
      </c>
      <c r="I21" s="4">
        <f t="shared" si="0"/>
        <v>44.5</v>
      </c>
      <c r="J21" s="4"/>
      <c r="K21" s="4"/>
      <c r="L21" s="4">
        <f t="shared" si="4"/>
        <v>36</v>
      </c>
      <c r="N21" s="4"/>
      <c r="O21" s="4"/>
      <c r="P21" s="4"/>
      <c r="Q21" s="4"/>
      <c r="R21" s="4"/>
      <c r="T21" s="4"/>
      <c r="U21" s="4"/>
      <c r="V21" s="4"/>
      <c r="W21" s="4">
        <f t="shared" si="7"/>
        <v>0</v>
      </c>
      <c r="X21" s="4">
        <f t="shared" si="6"/>
        <v>3647.1</v>
      </c>
      <c r="Y21" s="4" t="e">
        <f t="shared" si="1"/>
        <v>#DIV/0!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M21" s="42">
        <v>12</v>
      </c>
      <c r="AN21" s="4" t="s">
        <v>84</v>
      </c>
      <c r="AO21" s="20">
        <v>100</v>
      </c>
      <c r="AP21" s="4">
        <v>1</v>
      </c>
      <c r="AQ21" s="20">
        <f t="shared" si="2"/>
        <v>100</v>
      </c>
      <c r="AR21" s="4"/>
      <c r="AS21" s="4"/>
    </row>
    <row r="22" spans="1:45" ht="41.25" customHeight="1" x14ac:dyDescent="0.2">
      <c r="A22" s="4">
        <v>19</v>
      </c>
      <c r="B22" s="10">
        <v>45872</v>
      </c>
      <c r="C22" s="4">
        <v>10</v>
      </c>
      <c r="D22" s="4"/>
      <c r="E22" s="4">
        <f t="shared" si="8"/>
        <v>60</v>
      </c>
      <c r="F22" s="4">
        <v>10.5</v>
      </c>
      <c r="G22" s="4"/>
      <c r="H22" s="4">
        <f t="shared" si="3"/>
        <v>5</v>
      </c>
      <c r="I22" s="4">
        <f t="shared" si="0"/>
        <v>49.5</v>
      </c>
      <c r="J22" s="4"/>
      <c r="K22" s="4">
        <v>1</v>
      </c>
      <c r="L22" s="4">
        <f t="shared" si="4"/>
        <v>37</v>
      </c>
      <c r="N22" s="4"/>
      <c r="O22" s="4"/>
      <c r="P22" s="4"/>
      <c r="Q22" s="4"/>
      <c r="R22" s="4"/>
      <c r="T22" s="4"/>
      <c r="U22" s="4"/>
      <c r="V22" s="4"/>
      <c r="W22" s="4">
        <f t="shared" si="7"/>
        <v>0</v>
      </c>
      <c r="X22" s="4">
        <f t="shared" si="6"/>
        <v>3647.1</v>
      </c>
      <c r="Y22" s="4" t="e">
        <f t="shared" si="1"/>
        <v>#DIV/0!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M22" s="44"/>
      <c r="AN22" s="4" t="s">
        <v>85</v>
      </c>
      <c r="AO22" s="4">
        <v>1</v>
      </c>
      <c r="AP22" s="4">
        <v>1</v>
      </c>
      <c r="AQ22" s="4">
        <f t="shared" si="2"/>
        <v>1</v>
      </c>
      <c r="AR22" s="4"/>
      <c r="AS22" s="4"/>
    </row>
    <row r="23" spans="1:45" ht="41.25" customHeight="1" x14ac:dyDescent="0.2">
      <c r="A23" s="4">
        <v>20</v>
      </c>
      <c r="B23" s="10">
        <v>45873</v>
      </c>
      <c r="C23" s="4"/>
      <c r="D23" s="4"/>
      <c r="E23" s="4">
        <f t="shared" si="8"/>
        <v>60</v>
      </c>
      <c r="F23" s="4">
        <v>6</v>
      </c>
      <c r="G23" s="4"/>
      <c r="H23" s="4">
        <f t="shared" si="3"/>
        <v>4.5</v>
      </c>
      <c r="I23" s="4">
        <f t="shared" si="0"/>
        <v>54</v>
      </c>
      <c r="J23" s="4"/>
      <c r="K23" s="4">
        <v>1</v>
      </c>
      <c r="L23" s="4">
        <f t="shared" si="4"/>
        <v>38</v>
      </c>
      <c r="N23" s="4"/>
      <c r="O23" s="4"/>
      <c r="P23" s="4"/>
      <c r="Q23" s="4"/>
      <c r="R23" s="4"/>
      <c r="T23" s="4"/>
      <c r="U23" s="4"/>
      <c r="V23" s="4"/>
      <c r="W23" s="4">
        <f t="shared" si="7"/>
        <v>0</v>
      </c>
      <c r="X23" s="4">
        <f t="shared" si="6"/>
        <v>3647.1</v>
      </c>
      <c r="Y23" s="4" t="e">
        <f t="shared" si="1"/>
        <v>#DIV/0!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M23" s="4" t="s">
        <v>59</v>
      </c>
      <c r="AN23" s="4" t="s">
        <v>70</v>
      </c>
      <c r="AO23" s="20">
        <v>145</v>
      </c>
      <c r="AP23" s="4">
        <v>3</v>
      </c>
      <c r="AQ23" s="20">
        <f t="shared" si="2"/>
        <v>435</v>
      </c>
      <c r="AR23" s="4"/>
      <c r="AS23" s="4"/>
    </row>
    <row r="24" spans="1:45" ht="41.25" customHeight="1" x14ac:dyDescent="0.2">
      <c r="A24" s="4">
        <v>21</v>
      </c>
      <c r="B24" s="10">
        <v>45874</v>
      </c>
      <c r="C24" s="4">
        <v>15</v>
      </c>
      <c r="D24" s="4"/>
      <c r="E24" s="4">
        <f t="shared" si="8"/>
        <v>75</v>
      </c>
      <c r="F24" s="4">
        <v>15</v>
      </c>
      <c r="G24" s="4"/>
      <c r="H24" s="4">
        <f t="shared" si="3"/>
        <v>6</v>
      </c>
      <c r="I24" s="4">
        <f t="shared" si="0"/>
        <v>60</v>
      </c>
      <c r="J24" s="4"/>
      <c r="K24" s="4">
        <v>1</v>
      </c>
      <c r="L24" s="4">
        <f t="shared" si="4"/>
        <v>39</v>
      </c>
      <c r="N24" s="4"/>
      <c r="O24" s="4"/>
      <c r="P24" s="4"/>
      <c r="Q24" s="4"/>
      <c r="R24" s="4"/>
      <c r="T24" s="4"/>
      <c r="U24" s="4"/>
      <c r="V24" s="4"/>
      <c r="W24" s="4">
        <f t="shared" si="7"/>
        <v>0</v>
      </c>
      <c r="X24" s="4">
        <f t="shared" si="6"/>
        <v>3647.1</v>
      </c>
      <c r="Y24" s="4" t="e">
        <f t="shared" si="1"/>
        <v>#DIV/0!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M24" s="42">
        <v>19</v>
      </c>
      <c r="AN24" s="4" t="s">
        <v>84</v>
      </c>
      <c r="AO24" s="20">
        <v>220</v>
      </c>
      <c r="AP24" s="4">
        <v>1</v>
      </c>
      <c r="AQ24" s="20">
        <f t="shared" si="2"/>
        <v>220</v>
      </c>
      <c r="AR24" s="4"/>
      <c r="AS24" s="4"/>
    </row>
    <row r="25" spans="1:45" ht="41.25" customHeight="1" x14ac:dyDescent="0.2">
      <c r="A25" s="4">
        <v>22</v>
      </c>
      <c r="B25" s="10">
        <v>45875</v>
      </c>
      <c r="C25" s="4"/>
      <c r="D25" s="4"/>
      <c r="E25" s="4">
        <f t="shared" si="8"/>
        <v>75</v>
      </c>
      <c r="F25" s="4">
        <v>10</v>
      </c>
      <c r="G25" s="4"/>
      <c r="H25" s="4">
        <f t="shared" si="3"/>
        <v>5</v>
      </c>
      <c r="I25" s="4">
        <f t="shared" si="0"/>
        <v>65</v>
      </c>
      <c r="J25" s="4"/>
      <c r="K25" s="4">
        <v>2</v>
      </c>
      <c r="L25" s="4">
        <f t="shared" si="4"/>
        <v>41</v>
      </c>
      <c r="N25" s="4"/>
      <c r="O25" s="4"/>
      <c r="P25" s="4"/>
      <c r="Q25" s="4"/>
      <c r="R25" s="4"/>
      <c r="T25" s="4"/>
      <c r="U25" s="4"/>
      <c r="V25" s="4"/>
      <c r="W25" s="4">
        <f t="shared" si="7"/>
        <v>0</v>
      </c>
      <c r="X25" s="4">
        <f t="shared" si="6"/>
        <v>3647.1</v>
      </c>
      <c r="Y25" s="4" t="e">
        <f t="shared" si="1"/>
        <v>#DIV/0!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M25" s="43"/>
      <c r="AN25" s="4" t="s">
        <v>85</v>
      </c>
      <c r="AO25" s="4">
        <v>1</v>
      </c>
      <c r="AP25" s="4">
        <v>1</v>
      </c>
      <c r="AQ25" s="4">
        <f t="shared" si="2"/>
        <v>1</v>
      </c>
      <c r="AR25" s="4"/>
      <c r="AS25" s="4"/>
    </row>
    <row r="26" spans="1:45" ht="41.25" customHeight="1" x14ac:dyDescent="0.2">
      <c r="A26" s="4">
        <v>23</v>
      </c>
      <c r="B26" s="10">
        <v>45876</v>
      </c>
      <c r="C26" s="4">
        <v>15</v>
      </c>
      <c r="D26" s="4"/>
      <c r="E26" s="4">
        <f t="shared" si="8"/>
        <v>90</v>
      </c>
      <c r="F26" s="4">
        <v>19.5</v>
      </c>
      <c r="G26" s="4"/>
      <c r="H26" s="4">
        <f t="shared" si="3"/>
        <v>5.5</v>
      </c>
      <c r="I26" s="4">
        <f t="shared" si="0"/>
        <v>70.5</v>
      </c>
      <c r="J26" s="4"/>
      <c r="K26" s="4">
        <v>1</v>
      </c>
      <c r="L26" s="4">
        <f t="shared" si="4"/>
        <v>42</v>
      </c>
      <c r="N26" s="4"/>
      <c r="O26" s="4"/>
      <c r="P26" s="4"/>
      <c r="Q26" s="4"/>
      <c r="R26" s="4"/>
      <c r="T26" s="4"/>
      <c r="U26" s="4"/>
      <c r="V26" s="4"/>
      <c r="W26" s="4">
        <f t="shared" si="7"/>
        <v>0</v>
      </c>
      <c r="X26" s="4">
        <f t="shared" si="6"/>
        <v>3647.1</v>
      </c>
      <c r="Y26" s="4" t="e">
        <f t="shared" si="1"/>
        <v>#DIV/0!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M26" s="43"/>
      <c r="AN26" s="4" t="s">
        <v>69</v>
      </c>
      <c r="AO26" s="4">
        <v>2.5</v>
      </c>
      <c r="AP26" s="4">
        <v>1</v>
      </c>
      <c r="AQ26" s="4">
        <f t="shared" si="2"/>
        <v>2.5</v>
      </c>
      <c r="AR26" s="4"/>
      <c r="AS26" s="4"/>
    </row>
    <row r="27" spans="1:45" ht="41.25" customHeight="1" x14ac:dyDescent="0.2">
      <c r="A27" s="4">
        <v>24</v>
      </c>
      <c r="B27" s="10">
        <v>45877</v>
      </c>
      <c r="C27" s="4"/>
      <c r="D27" s="4"/>
      <c r="E27" s="4">
        <f t="shared" si="8"/>
        <v>90</v>
      </c>
      <c r="F27" s="4">
        <v>13.5</v>
      </c>
      <c r="G27" s="4"/>
      <c r="H27" s="4">
        <f t="shared" si="3"/>
        <v>6</v>
      </c>
      <c r="I27" s="4">
        <f t="shared" si="0"/>
        <v>76.5</v>
      </c>
      <c r="J27" s="4"/>
      <c r="K27" s="4">
        <v>3</v>
      </c>
      <c r="L27" s="4">
        <f t="shared" si="4"/>
        <v>45</v>
      </c>
      <c r="N27" s="4"/>
      <c r="O27" s="4"/>
      <c r="P27" s="4"/>
      <c r="Q27" s="4"/>
      <c r="R27" s="4"/>
      <c r="T27" s="4"/>
      <c r="U27" s="4"/>
      <c r="V27" s="4"/>
      <c r="W27" s="4">
        <f t="shared" si="7"/>
        <v>0</v>
      </c>
      <c r="X27" s="4">
        <f t="shared" si="6"/>
        <v>3647.1</v>
      </c>
      <c r="Y27" s="4" t="e">
        <f t="shared" si="1"/>
        <v>#DIV/0!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M27" s="44"/>
      <c r="AN27" s="4" t="s">
        <v>63</v>
      </c>
      <c r="AO27" s="11">
        <v>180</v>
      </c>
      <c r="AP27" s="4">
        <v>1</v>
      </c>
      <c r="AQ27" s="11">
        <f t="shared" si="2"/>
        <v>180</v>
      </c>
      <c r="AR27" s="4"/>
      <c r="AS27" s="4"/>
    </row>
    <row r="28" spans="1:45" ht="41.25" customHeight="1" x14ac:dyDescent="0.2">
      <c r="A28" s="4">
        <v>25</v>
      </c>
      <c r="B28" s="10">
        <v>45878</v>
      </c>
      <c r="C28" s="4">
        <v>5</v>
      </c>
      <c r="D28" s="4"/>
      <c r="E28" s="4">
        <f t="shared" si="8"/>
        <v>95</v>
      </c>
      <c r="F28" s="4">
        <v>12</v>
      </c>
      <c r="G28" s="4"/>
      <c r="H28" s="4">
        <f t="shared" si="3"/>
        <v>6.5</v>
      </c>
      <c r="I28" s="4">
        <f t="shared" si="0"/>
        <v>83</v>
      </c>
      <c r="J28" s="4"/>
      <c r="K28" s="4">
        <v>2</v>
      </c>
      <c r="L28" s="4">
        <f t="shared" si="4"/>
        <v>47</v>
      </c>
      <c r="N28" s="4"/>
      <c r="O28" s="4"/>
      <c r="P28" s="4"/>
      <c r="Q28" s="4"/>
      <c r="R28" s="4"/>
      <c r="T28" s="4"/>
      <c r="U28" s="4"/>
      <c r="V28" s="4"/>
      <c r="W28" s="4">
        <f t="shared" si="7"/>
        <v>0</v>
      </c>
      <c r="X28" s="4">
        <f t="shared" si="6"/>
        <v>3647.1</v>
      </c>
      <c r="Y28" s="4" t="e">
        <f t="shared" si="1"/>
        <v>#DIV/0!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M28" s="42" t="s">
        <v>86</v>
      </c>
      <c r="AN28" s="4" t="s">
        <v>67</v>
      </c>
      <c r="AO28" s="21">
        <v>2.5</v>
      </c>
      <c r="AP28" s="4">
        <v>3</v>
      </c>
      <c r="AQ28" s="21">
        <f t="shared" si="2"/>
        <v>7.5</v>
      </c>
      <c r="AR28" s="4"/>
      <c r="AS28" s="4"/>
    </row>
    <row r="29" spans="1:45" ht="41.25" customHeight="1" x14ac:dyDescent="0.2">
      <c r="A29" s="4">
        <v>26</v>
      </c>
      <c r="B29" s="10">
        <v>45879</v>
      </c>
      <c r="C29" s="4">
        <v>5</v>
      </c>
      <c r="D29" s="4"/>
      <c r="E29" s="4">
        <f t="shared" si="8"/>
        <v>100</v>
      </c>
      <c r="F29" s="4">
        <v>10</v>
      </c>
      <c r="G29" s="4"/>
      <c r="H29" s="4">
        <f t="shared" si="3"/>
        <v>7</v>
      </c>
      <c r="I29" s="4">
        <f t="shared" si="0"/>
        <v>90</v>
      </c>
      <c r="J29" s="4"/>
      <c r="K29" s="4">
        <v>3</v>
      </c>
      <c r="L29" s="4">
        <f t="shared" si="4"/>
        <v>50</v>
      </c>
      <c r="N29" s="4"/>
      <c r="O29" s="4"/>
      <c r="P29" s="4"/>
      <c r="Q29" s="4"/>
      <c r="R29" s="4"/>
      <c r="T29" s="4"/>
      <c r="U29" s="4"/>
      <c r="V29" s="4"/>
      <c r="W29" s="4">
        <f t="shared" si="7"/>
        <v>0</v>
      </c>
      <c r="X29" s="4">
        <f t="shared" si="6"/>
        <v>3647.1</v>
      </c>
      <c r="Y29" s="4" t="e">
        <f t="shared" si="1"/>
        <v>#DIV/0!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M29" s="44"/>
      <c r="AN29" s="11" t="s">
        <v>48</v>
      </c>
      <c r="AO29" s="11">
        <v>90</v>
      </c>
      <c r="AP29" s="4">
        <v>3</v>
      </c>
      <c r="AQ29" s="11">
        <f t="shared" si="2"/>
        <v>270</v>
      </c>
      <c r="AR29" s="4"/>
      <c r="AS29" s="4"/>
    </row>
    <row r="30" spans="1:45" ht="41.25" customHeight="1" x14ac:dyDescent="0.2">
      <c r="A30" s="4">
        <v>27</v>
      </c>
      <c r="B30" s="10">
        <v>45880</v>
      </c>
      <c r="C30" s="4">
        <v>15</v>
      </c>
      <c r="D30" s="4">
        <v>5</v>
      </c>
      <c r="E30" s="4">
        <f>E29+C30+D30</f>
        <v>120</v>
      </c>
      <c r="F30" s="4">
        <v>18</v>
      </c>
      <c r="G30" s="4">
        <v>5</v>
      </c>
      <c r="H30" s="4">
        <f t="shared" si="3"/>
        <v>7</v>
      </c>
      <c r="I30" s="4">
        <f t="shared" si="0"/>
        <v>97</v>
      </c>
      <c r="J30" s="4"/>
      <c r="K30" s="4">
        <v>2</v>
      </c>
      <c r="L30" s="4">
        <f t="shared" si="4"/>
        <v>52</v>
      </c>
      <c r="N30" s="4"/>
      <c r="O30" s="4"/>
      <c r="P30" s="4"/>
      <c r="Q30" s="4"/>
      <c r="R30" s="4"/>
      <c r="T30" s="4"/>
      <c r="U30" s="4"/>
      <c r="V30" s="4"/>
      <c r="W30" s="4">
        <f t="shared" si="7"/>
        <v>0</v>
      </c>
      <c r="X30" s="4">
        <f t="shared" si="6"/>
        <v>3647.1</v>
      </c>
      <c r="Y30" s="4" t="e">
        <f t="shared" si="1"/>
        <v>#DIV/0!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M30" s="4" t="s">
        <v>71</v>
      </c>
      <c r="AN30" s="4" t="s">
        <v>70</v>
      </c>
      <c r="AO30" s="20">
        <v>270</v>
      </c>
      <c r="AP30" s="4">
        <v>3</v>
      </c>
      <c r="AQ30" s="20">
        <f t="shared" si="2"/>
        <v>810</v>
      </c>
      <c r="AR30" s="4"/>
      <c r="AS30" s="4"/>
    </row>
    <row r="31" spans="1:45" ht="41.25" customHeight="1" x14ac:dyDescent="0.2">
      <c r="A31" s="4">
        <v>28</v>
      </c>
      <c r="B31" s="10">
        <v>45881</v>
      </c>
      <c r="C31" s="4"/>
      <c r="D31" s="4"/>
      <c r="E31" s="4">
        <f>E30+C31+D31</f>
        <v>120</v>
      </c>
      <c r="F31" s="4">
        <v>11.5</v>
      </c>
      <c r="G31" s="4">
        <v>5</v>
      </c>
      <c r="H31" s="4">
        <f t="shared" si="3"/>
        <v>6.5</v>
      </c>
      <c r="I31" s="4">
        <f t="shared" si="0"/>
        <v>103.5</v>
      </c>
      <c r="J31" s="4"/>
      <c r="K31" s="4">
        <v>1</v>
      </c>
      <c r="L31" s="4">
        <f t="shared" si="4"/>
        <v>53</v>
      </c>
      <c r="N31" s="4"/>
      <c r="O31" s="4"/>
      <c r="P31" s="4"/>
      <c r="Q31" s="4"/>
      <c r="R31" s="4"/>
      <c r="T31" s="4"/>
      <c r="U31" s="4"/>
      <c r="V31" s="4"/>
      <c r="W31" s="4">
        <f t="shared" si="7"/>
        <v>0</v>
      </c>
      <c r="X31" s="4">
        <f t="shared" si="6"/>
        <v>3647.1</v>
      </c>
      <c r="Y31" s="4" t="e">
        <f t="shared" si="1"/>
        <v>#DIV/0!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M31" s="42">
        <v>29</v>
      </c>
      <c r="AN31" s="4" t="s">
        <v>69</v>
      </c>
      <c r="AO31" s="4">
        <v>2.5</v>
      </c>
      <c r="AP31" s="4">
        <v>1</v>
      </c>
      <c r="AQ31" s="4">
        <f t="shared" si="2"/>
        <v>2.5</v>
      </c>
      <c r="AR31" s="4"/>
      <c r="AS31" s="4"/>
    </row>
    <row r="32" spans="1:45" ht="41.25" customHeight="1" x14ac:dyDescent="0.2">
      <c r="A32" s="4">
        <v>29</v>
      </c>
      <c r="B32" s="10">
        <v>45882</v>
      </c>
      <c r="C32" s="4"/>
      <c r="D32" s="4"/>
      <c r="E32" s="4">
        <f t="shared" si="8"/>
        <v>120</v>
      </c>
      <c r="F32" s="4">
        <v>7.5</v>
      </c>
      <c r="G32" s="4">
        <v>2</v>
      </c>
      <c r="H32" s="4">
        <f t="shared" si="3"/>
        <v>7</v>
      </c>
      <c r="I32" s="4">
        <f t="shared" si="0"/>
        <v>110.5</v>
      </c>
      <c r="J32" s="4"/>
      <c r="K32" s="4">
        <v>3</v>
      </c>
      <c r="L32" s="4">
        <f t="shared" si="4"/>
        <v>56</v>
      </c>
      <c r="N32" s="4"/>
      <c r="O32" s="4"/>
      <c r="P32" s="4"/>
      <c r="Q32" s="4"/>
      <c r="R32" s="4"/>
      <c r="T32" s="4"/>
      <c r="U32" s="4"/>
      <c r="V32" s="4"/>
      <c r="W32" s="4">
        <f t="shared" si="7"/>
        <v>0</v>
      </c>
      <c r="X32" s="4">
        <f t="shared" si="6"/>
        <v>3647.1</v>
      </c>
      <c r="Y32" s="4" t="e">
        <f t="shared" si="1"/>
        <v>#DIV/0!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M32" s="44"/>
      <c r="AN32" s="4" t="s">
        <v>63</v>
      </c>
      <c r="AO32" s="11">
        <v>300</v>
      </c>
      <c r="AP32" s="4">
        <v>1</v>
      </c>
      <c r="AQ32" s="11">
        <f t="shared" si="2"/>
        <v>300</v>
      </c>
      <c r="AR32" s="4"/>
      <c r="AS32" s="4"/>
    </row>
    <row r="33" spans="1:45" ht="41.25" customHeight="1" x14ac:dyDescent="0.2">
      <c r="A33" s="4">
        <v>30</v>
      </c>
      <c r="B33" s="10">
        <v>45883</v>
      </c>
      <c r="C33" s="4">
        <v>10</v>
      </c>
      <c r="D33" s="4">
        <v>4</v>
      </c>
      <c r="E33" s="4">
        <f t="shared" si="8"/>
        <v>134</v>
      </c>
      <c r="F33" s="4">
        <v>12</v>
      </c>
      <c r="G33" s="4">
        <v>3</v>
      </c>
      <c r="H33" s="4">
        <f t="shared" si="3"/>
        <v>8.5</v>
      </c>
      <c r="I33" s="4">
        <f t="shared" si="0"/>
        <v>119</v>
      </c>
      <c r="J33" s="4"/>
      <c r="K33" s="4">
        <v>2</v>
      </c>
      <c r="L33" s="4">
        <f t="shared" si="4"/>
        <v>58</v>
      </c>
      <c r="N33" s="4"/>
      <c r="O33" s="4"/>
      <c r="P33" s="4"/>
      <c r="Q33" s="4"/>
      <c r="R33" s="4"/>
      <c r="T33" s="4"/>
      <c r="U33" s="4"/>
      <c r="V33" s="4"/>
      <c r="W33" s="4">
        <f t="shared" si="7"/>
        <v>0</v>
      </c>
      <c r="X33" s="4">
        <f t="shared" si="6"/>
        <v>3647.1</v>
      </c>
      <c r="Y33" s="4" t="e">
        <f t="shared" si="1"/>
        <v>#DIV/0!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M33" s="42">
        <v>30</v>
      </c>
      <c r="AN33" s="4" t="s">
        <v>67</v>
      </c>
      <c r="AO33" s="21">
        <v>2.5</v>
      </c>
      <c r="AP33" s="4">
        <v>1</v>
      </c>
      <c r="AQ33" s="21">
        <f t="shared" si="2"/>
        <v>2.5</v>
      </c>
      <c r="AR33" s="4"/>
      <c r="AS33" s="4"/>
    </row>
    <row r="34" spans="1:45" ht="41.25" customHeight="1" x14ac:dyDescent="0.2">
      <c r="A34" s="4">
        <v>31</v>
      </c>
      <c r="B34" s="10">
        <v>45884</v>
      </c>
      <c r="C34" s="4"/>
      <c r="D34" s="4"/>
      <c r="E34" s="4">
        <f t="shared" si="8"/>
        <v>134</v>
      </c>
      <c r="F34" s="4">
        <v>7</v>
      </c>
      <c r="G34" s="4">
        <v>2</v>
      </c>
      <c r="H34" s="4">
        <f t="shared" si="3"/>
        <v>6</v>
      </c>
      <c r="I34" s="4">
        <f t="shared" si="0"/>
        <v>125</v>
      </c>
      <c r="J34" s="4"/>
      <c r="K34" s="4">
        <v>3</v>
      </c>
      <c r="L34" s="4">
        <f t="shared" si="4"/>
        <v>61</v>
      </c>
      <c r="N34" s="4"/>
      <c r="O34" s="4"/>
      <c r="P34" s="4"/>
      <c r="Q34" s="4"/>
      <c r="R34" s="4"/>
      <c r="T34" s="4"/>
      <c r="U34" s="4"/>
      <c r="V34" s="4"/>
      <c r="W34" s="4">
        <f t="shared" si="7"/>
        <v>0</v>
      </c>
      <c r="X34" s="4">
        <f t="shared" si="6"/>
        <v>3647.1</v>
      </c>
      <c r="Y34" s="4" t="e">
        <f t="shared" si="1"/>
        <v>#DIV/0!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M34" s="44"/>
      <c r="AN34" s="4" t="s">
        <v>48</v>
      </c>
      <c r="AO34" s="11">
        <v>130</v>
      </c>
      <c r="AP34" s="4">
        <v>1</v>
      </c>
      <c r="AQ34" s="11">
        <f t="shared" si="2"/>
        <v>130</v>
      </c>
      <c r="AR34" s="4"/>
      <c r="AS34" s="4"/>
    </row>
    <row r="35" spans="1:45" ht="41.25" customHeight="1" x14ac:dyDescent="0.2">
      <c r="A35" s="4">
        <v>32</v>
      </c>
      <c r="B35" s="10">
        <v>45885</v>
      </c>
      <c r="C35" s="4">
        <v>10</v>
      </c>
      <c r="D35" s="4"/>
      <c r="E35" s="4">
        <f t="shared" si="8"/>
        <v>144</v>
      </c>
      <c r="F35" s="4">
        <v>12</v>
      </c>
      <c r="G35" s="4"/>
      <c r="H35" s="4">
        <f t="shared" si="3"/>
        <v>7</v>
      </c>
      <c r="I35" s="4">
        <f t="shared" si="0"/>
        <v>132</v>
      </c>
      <c r="J35" s="4"/>
      <c r="K35" s="4"/>
      <c r="L35" s="4">
        <f t="shared" si="4"/>
        <v>61</v>
      </c>
      <c r="N35" s="4"/>
      <c r="O35" s="4"/>
      <c r="P35" s="4"/>
      <c r="Q35" s="4"/>
      <c r="R35" s="4"/>
      <c r="T35" s="4"/>
      <c r="U35" s="4"/>
      <c r="V35" s="4"/>
      <c r="W35" s="4">
        <f t="shared" si="7"/>
        <v>0</v>
      </c>
      <c r="X35" s="4">
        <f t="shared" si="6"/>
        <v>3647.1</v>
      </c>
      <c r="Y35" s="4" t="e">
        <f t="shared" si="1"/>
        <v>#DIV/0!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M35" s="42" t="s">
        <v>89</v>
      </c>
      <c r="AN35" s="4" t="s">
        <v>87</v>
      </c>
      <c r="AO35" s="11">
        <v>250</v>
      </c>
      <c r="AP35" s="4">
        <v>3</v>
      </c>
      <c r="AQ35" s="11">
        <f t="shared" si="2"/>
        <v>750</v>
      </c>
      <c r="AR35" s="4"/>
      <c r="AS35" s="4"/>
    </row>
    <row r="36" spans="1:45" ht="41.25" customHeight="1" x14ac:dyDescent="0.2">
      <c r="A36" s="4">
        <v>33</v>
      </c>
      <c r="B36" s="10">
        <v>45886</v>
      </c>
      <c r="C36" s="4">
        <v>10</v>
      </c>
      <c r="D36" s="4"/>
      <c r="E36" s="4">
        <f t="shared" si="8"/>
        <v>154</v>
      </c>
      <c r="F36" s="4">
        <v>14</v>
      </c>
      <c r="G36" s="4"/>
      <c r="H36" s="4">
        <f t="shared" si="3"/>
        <v>8</v>
      </c>
      <c r="I36" s="4">
        <f t="shared" si="0"/>
        <v>140</v>
      </c>
      <c r="J36" s="4"/>
      <c r="K36" s="4">
        <v>1</v>
      </c>
      <c r="L36" s="4">
        <f t="shared" si="4"/>
        <v>62</v>
      </c>
      <c r="N36" s="4"/>
      <c r="O36" s="4"/>
      <c r="P36" s="4"/>
      <c r="Q36" s="4"/>
      <c r="R36" s="4"/>
      <c r="T36" s="4"/>
      <c r="U36" s="4"/>
      <c r="V36" s="4"/>
      <c r="W36" s="4">
        <f t="shared" si="7"/>
        <v>0</v>
      </c>
      <c r="X36" s="4">
        <f t="shared" si="6"/>
        <v>3647.1</v>
      </c>
      <c r="Y36" s="4" t="e">
        <f t="shared" si="1"/>
        <v>#DIV/0!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M36" s="43"/>
      <c r="AN36" s="4" t="s">
        <v>88</v>
      </c>
      <c r="AO36" s="11">
        <v>150</v>
      </c>
      <c r="AP36" s="4">
        <v>3</v>
      </c>
      <c r="AQ36" s="11">
        <f t="shared" si="2"/>
        <v>450</v>
      </c>
      <c r="AR36" s="4"/>
      <c r="AS36" s="4"/>
    </row>
    <row r="37" spans="1:45" ht="41.25" customHeight="1" x14ac:dyDescent="0.2">
      <c r="A37" s="4">
        <v>34</v>
      </c>
      <c r="B37" s="10">
        <v>45887</v>
      </c>
      <c r="C37" s="4">
        <v>10</v>
      </c>
      <c r="D37" s="4"/>
      <c r="E37" s="4">
        <f t="shared" si="8"/>
        <v>164</v>
      </c>
      <c r="F37" s="4">
        <v>16</v>
      </c>
      <c r="G37" s="4"/>
      <c r="H37" s="4">
        <f t="shared" si="3"/>
        <v>8</v>
      </c>
      <c r="I37" s="4">
        <f t="shared" si="0"/>
        <v>148</v>
      </c>
      <c r="J37" s="4"/>
      <c r="K37" s="4">
        <v>3</v>
      </c>
      <c r="L37" s="4">
        <f t="shared" si="4"/>
        <v>65</v>
      </c>
      <c r="N37" s="4"/>
      <c r="O37" s="4"/>
      <c r="P37" s="4"/>
      <c r="Q37" s="4"/>
      <c r="R37" s="4"/>
      <c r="T37" s="4"/>
      <c r="U37" s="4"/>
      <c r="V37" s="4"/>
      <c r="W37" s="4">
        <f t="shared" si="7"/>
        <v>0</v>
      </c>
      <c r="X37" s="4">
        <f t="shared" si="6"/>
        <v>3647.1</v>
      </c>
      <c r="Y37" s="4" t="e">
        <f t="shared" si="1"/>
        <v>#DIV/0!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M37" s="43"/>
      <c r="AN37" s="4" t="s">
        <v>67</v>
      </c>
      <c r="AO37" s="21">
        <v>2.5</v>
      </c>
      <c r="AP37" s="4">
        <v>3</v>
      </c>
      <c r="AQ37" s="21">
        <f t="shared" si="2"/>
        <v>7.5</v>
      </c>
      <c r="AR37" s="4"/>
      <c r="AS37" s="4"/>
    </row>
    <row r="38" spans="1:45" ht="41.25" customHeight="1" x14ac:dyDescent="0.2">
      <c r="A38" s="4">
        <v>35</v>
      </c>
      <c r="B38" s="10">
        <v>45888</v>
      </c>
      <c r="C38" s="4">
        <v>16</v>
      </c>
      <c r="D38" s="4"/>
      <c r="E38" s="4">
        <f t="shared" si="8"/>
        <v>180</v>
      </c>
      <c r="F38" s="4">
        <v>23</v>
      </c>
      <c r="G38" s="4"/>
      <c r="H38" s="4">
        <f t="shared" si="3"/>
        <v>9</v>
      </c>
      <c r="I38" s="4">
        <f t="shared" si="0"/>
        <v>157</v>
      </c>
      <c r="J38" s="4"/>
      <c r="K38" s="4">
        <v>5</v>
      </c>
      <c r="L38" s="4">
        <f t="shared" si="4"/>
        <v>70</v>
      </c>
      <c r="N38" s="4"/>
      <c r="O38" s="4"/>
      <c r="P38" s="4"/>
      <c r="Q38" s="4"/>
      <c r="R38" s="4"/>
      <c r="T38" s="4"/>
      <c r="U38" s="4"/>
      <c r="V38" s="4"/>
      <c r="W38" s="4">
        <f t="shared" si="7"/>
        <v>0</v>
      </c>
      <c r="X38" s="4">
        <f t="shared" si="6"/>
        <v>3647.1</v>
      </c>
      <c r="Y38" s="4" t="e">
        <f t="shared" si="1"/>
        <v>#DIV/0!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M38" s="44"/>
      <c r="AN38" s="4" t="s">
        <v>48</v>
      </c>
      <c r="AO38" s="11">
        <v>150</v>
      </c>
      <c r="AP38" s="4">
        <v>3</v>
      </c>
      <c r="AQ38" s="11">
        <f t="shared" si="2"/>
        <v>450</v>
      </c>
      <c r="AR38" s="4"/>
      <c r="AS38" s="4"/>
    </row>
    <row r="39" spans="1:45" ht="41.25" customHeight="1" x14ac:dyDescent="0.2">
      <c r="A39" s="4">
        <v>36</v>
      </c>
      <c r="B39" s="10">
        <v>45889</v>
      </c>
      <c r="C39" s="4"/>
      <c r="D39" s="4"/>
      <c r="E39" s="4">
        <f t="shared" si="8"/>
        <v>180</v>
      </c>
      <c r="F39" s="4">
        <v>14</v>
      </c>
      <c r="G39" s="4"/>
      <c r="H39" s="4">
        <f t="shared" si="3"/>
        <v>9</v>
      </c>
      <c r="I39" s="4">
        <f t="shared" si="0"/>
        <v>166</v>
      </c>
      <c r="J39" s="4"/>
      <c r="K39" s="4">
        <v>6</v>
      </c>
      <c r="L39" s="4">
        <f t="shared" si="4"/>
        <v>76</v>
      </c>
      <c r="N39" s="4"/>
      <c r="O39" s="4"/>
      <c r="P39" s="4"/>
      <c r="Q39" s="4"/>
      <c r="R39" s="4"/>
      <c r="T39" s="4"/>
      <c r="U39" s="4"/>
      <c r="V39" s="4"/>
      <c r="W39" s="4">
        <f t="shared" si="7"/>
        <v>0</v>
      </c>
      <c r="X39" s="4">
        <f t="shared" si="6"/>
        <v>3647.1</v>
      </c>
      <c r="Y39" s="4" t="e">
        <f t="shared" si="1"/>
        <v>#DIV/0!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M39" s="4" t="s">
        <v>90</v>
      </c>
      <c r="AN39" s="4" t="s">
        <v>47</v>
      </c>
      <c r="AO39" s="20">
        <v>300</v>
      </c>
      <c r="AP39" s="4">
        <v>3</v>
      </c>
      <c r="AQ39" s="20">
        <f t="shared" si="2"/>
        <v>900</v>
      </c>
      <c r="AR39" s="4"/>
      <c r="AS39" s="4"/>
    </row>
    <row r="40" spans="1:45" ht="41.25" customHeight="1" x14ac:dyDescent="0.2">
      <c r="A40" s="4">
        <v>37</v>
      </c>
      <c r="B40" s="10">
        <v>45890</v>
      </c>
      <c r="C40" s="4">
        <v>15</v>
      </c>
      <c r="D40" s="4">
        <v>5</v>
      </c>
      <c r="E40" s="4">
        <f t="shared" si="8"/>
        <v>200</v>
      </c>
      <c r="F40" s="4">
        <v>20.5</v>
      </c>
      <c r="G40" s="4">
        <v>5</v>
      </c>
      <c r="H40" s="4">
        <f t="shared" si="3"/>
        <v>8.5</v>
      </c>
      <c r="I40" s="4">
        <f t="shared" si="0"/>
        <v>174.5</v>
      </c>
      <c r="J40" s="4"/>
      <c r="K40" s="4">
        <v>3</v>
      </c>
      <c r="L40" s="4">
        <f t="shared" si="4"/>
        <v>79</v>
      </c>
      <c r="N40" s="4"/>
      <c r="O40" s="4"/>
      <c r="P40" s="4"/>
      <c r="Q40" s="4"/>
      <c r="R40" s="4"/>
      <c r="T40" s="4"/>
      <c r="U40" s="4"/>
      <c r="V40" s="4"/>
      <c r="W40" s="4">
        <f t="shared" si="7"/>
        <v>0</v>
      </c>
      <c r="X40" s="4">
        <f t="shared" si="6"/>
        <v>3647.1</v>
      </c>
      <c r="Y40" s="4" t="e">
        <f t="shared" si="1"/>
        <v>#DIV/0!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M40" s="4"/>
      <c r="AN40" s="4"/>
      <c r="AO40" s="4"/>
      <c r="AP40" s="4"/>
      <c r="AQ40" s="20">
        <f t="shared" si="2"/>
        <v>0</v>
      </c>
      <c r="AR40" s="4"/>
      <c r="AS40" s="4"/>
    </row>
    <row r="41" spans="1:45" ht="41.25" customHeight="1" x14ac:dyDescent="0.2">
      <c r="A41" s="4">
        <v>38</v>
      </c>
      <c r="B41" s="10">
        <v>45891</v>
      </c>
      <c r="C41" s="4"/>
      <c r="D41" s="4"/>
      <c r="E41" s="4">
        <f t="shared" si="8"/>
        <v>200</v>
      </c>
      <c r="F41" s="4">
        <v>16.5</v>
      </c>
      <c r="G41" s="4">
        <v>5</v>
      </c>
      <c r="H41" s="4">
        <f t="shared" si="3"/>
        <v>4</v>
      </c>
      <c r="I41" s="4">
        <f t="shared" si="0"/>
        <v>178.5</v>
      </c>
      <c r="J41" s="4"/>
      <c r="K41" s="4">
        <v>2</v>
      </c>
      <c r="L41" s="4">
        <f t="shared" si="4"/>
        <v>81</v>
      </c>
      <c r="N41" s="4"/>
      <c r="O41" s="4"/>
      <c r="P41" s="4"/>
      <c r="Q41" s="4"/>
      <c r="R41" s="4"/>
      <c r="T41" s="4"/>
      <c r="U41" s="4"/>
      <c r="V41" s="4"/>
      <c r="W41" s="4">
        <f t="shared" si="7"/>
        <v>0</v>
      </c>
      <c r="X41" s="4">
        <f t="shared" si="6"/>
        <v>3647.1</v>
      </c>
      <c r="Y41" s="4" t="e">
        <f t="shared" si="1"/>
        <v>#DIV/0!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M41" s="4"/>
      <c r="AN41" s="4"/>
      <c r="AO41" s="4"/>
      <c r="AP41" s="4"/>
      <c r="AQ41" s="20">
        <f t="shared" si="2"/>
        <v>0</v>
      </c>
      <c r="AR41" s="4"/>
      <c r="AS41" s="4"/>
    </row>
    <row r="42" spans="1:45" ht="41.25" customHeight="1" x14ac:dyDescent="0.2">
      <c r="A42" s="4">
        <v>39</v>
      </c>
      <c r="B42" s="10">
        <v>45892</v>
      </c>
      <c r="C42" s="4"/>
      <c r="D42" s="4"/>
      <c r="E42" s="4">
        <f t="shared" si="8"/>
        <v>200</v>
      </c>
      <c r="F42" s="4">
        <v>15</v>
      </c>
      <c r="G42" s="4">
        <v>4</v>
      </c>
      <c r="H42" s="4">
        <f t="shared" si="3"/>
        <v>2.5</v>
      </c>
      <c r="I42" s="4">
        <f t="shared" si="0"/>
        <v>181</v>
      </c>
      <c r="J42" s="4"/>
      <c r="K42" s="4">
        <v>2</v>
      </c>
      <c r="L42" s="4">
        <f t="shared" si="4"/>
        <v>83</v>
      </c>
      <c r="N42" s="4"/>
      <c r="O42" s="4"/>
      <c r="P42" s="4"/>
      <c r="Q42" s="4"/>
      <c r="R42" s="4"/>
      <c r="T42" s="4"/>
      <c r="U42" s="4"/>
      <c r="V42" s="4"/>
      <c r="W42" s="4">
        <f t="shared" si="7"/>
        <v>0</v>
      </c>
      <c r="X42" s="4">
        <f t="shared" si="6"/>
        <v>3647.1</v>
      </c>
      <c r="Y42" s="4" t="e">
        <f t="shared" si="1"/>
        <v>#DIV/0!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M42" s="4"/>
      <c r="AN42" s="4"/>
      <c r="AO42" s="4"/>
      <c r="AP42" s="4"/>
      <c r="AQ42" s="20">
        <f t="shared" si="2"/>
        <v>0</v>
      </c>
      <c r="AR42" s="4"/>
      <c r="AS42" s="4"/>
    </row>
    <row r="43" spans="1:45" ht="41.25" customHeight="1" x14ac:dyDescent="0.2">
      <c r="A43" s="4">
        <v>40</v>
      </c>
      <c r="B43" s="10">
        <v>45893</v>
      </c>
      <c r="C43" s="4"/>
      <c r="D43" s="4"/>
      <c r="E43" s="4">
        <f t="shared" si="8"/>
        <v>200</v>
      </c>
      <c r="F43" s="4">
        <v>14</v>
      </c>
      <c r="G43" s="4">
        <v>4</v>
      </c>
      <c r="H43" s="4">
        <f t="shared" si="3"/>
        <v>1</v>
      </c>
      <c r="I43" s="4">
        <f t="shared" si="0"/>
        <v>182</v>
      </c>
      <c r="J43" s="4"/>
      <c r="K43" s="4">
        <v>1</v>
      </c>
      <c r="L43" s="4">
        <f t="shared" si="4"/>
        <v>84</v>
      </c>
      <c r="N43" s="4"/>
      <c r="O43" s="4"/>
      <c r="P43" s="4"/>
      <c r="Q43" s="4"/>
      <c r="R43" s="4"/>
      <c r="T43" s="4"/>
      <c r="U43" s="4"/>
      <c r="V43" s="4"/>
      <c r="W43" s="4">
        <f t="shared" si="7"/>
        <v>0</v>
      </c>
      <c r="X43" s="4">
        <f t="shared" si="6"/>
        <v>3647.1</v>
      </c>
      <c r="Y43" s="4" t="e">
        <f t="shared" si="1"/>
        <v>#DIV/0!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M43" s="4"/>
      <c r="AN43" s="4"/>
      <c r="AO43" s="4"/>
      <c r="AP43" s="4"/>
      <c r="AQ43" s="20">
        <f t="shared" si="2"/>
        <v>0</v>
      </c>
      <c r="AR43" s="4"/>
      <c r="AS43" s="4"/>
    </row>
    <row r="44" spans="1:45" ht="41.25" customHeight="1" x14ac:dyDescent="0.2">
      <c r="A44" s="4">
        <v>41</v>
      </c>
      <c r="B44" s="10">
        <v>45894</v>
      </c>
      <c r="C44" s="4"/>
      <c r="D44" s="4"/>
      <c r="E44" s="4">
        <f t="shared" si="8"/>
        <v>200</v>
      </c>
      <c r="F44" s="4">
        <v>13</v>
      </c>
      <c r="G44" s="4">
        <v>4</v>
      </c>
      <c r="H44" s="4">
        <f t="shared" si="3"/>
        <v>1</v>
      </c>
      <c r="I44" s="4">
        <f t="shared" si="0"/>
        <v>183</v>
      </c>
      <c r="J44" s="4"/>
      <c r="K44" s="4">
        <v>4</v>
      </c>
      <c r="L44" s="4">
        <f t="shared" si="4"/>
        <v>88</v>
      </c>
      <c r="N44" s="4"/>
      <c r="O44" s="4"/>
      <c r="P44" s="4"/>
      <c r="Q44" s="4"/>
      <c r="R44" s="4"/>
      <c r="T44" s="4"/>
      <c r="U44" s="4"/>
      <c r="V44" s="4"/>
      <c r="W44" s="4">
        <f t="shared" si="7"/>
        <v>0</v>
      </c>
      <c r="X44" s="4">
        <f t="shared" si="6"/>
        <v>3647.1</v>
      </c>
      <c r="Y44" s="4" t="e">
        <f t="shared" si="1"/>
        <v>#DIV/0!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M44" s="4"/>
      <c r="AN44" s="4"/>
      <c r="AO44" s="4"/>
      <c r="AP44" s="4"/>
      <c r="AQ44" s="20">
        <f t="shared" si="2"/>
        <v>0</v>
      </c>
      <c r="AR44" s="4"/>
      <c r="AS44" s="4"/>
    </row>
    <row r="45" spans="1:45" ht="41.25" customHeight="1" x14ac:dyDescent="0.2">
      <c r="A45" s="4">
        <v>42</v>
      </c>
      <c r="B45" s="10">
        <v>45895</v>
      </c>
      <c r="C45" s="4"/>
      <c r="D45" s="4"/>
      <c r="E45" s="4">
        <f t="shared" si="8"/>
        <v>200</v>
      </c>
      <c r="F45" s="4">
        <v>12</v>
      </c>
      <c r="G45" s="4">
        <v>3</v>
      </c>
      <c r="H45" s="4">
        <f t="shared" si="3"/>
        <v>2</v>
      </c>
      <c r="I45" s="4">
        <f t="shared" si="0"/>
        <v>185</v>
      </c>
      <c r="J45" s="4"/>
      <c r="K45" s="4"/>
      <c r="L45" s="4">
        <f t="shared" si="4"/>
        <v>88</v>
      </c>
      <c r="N45" s="4"/>
      <c r="O45" s="4"/>
      <c r="P45" s="4"/>
      <c r="Q45" s="4"/>
      <c r="R45" s="4"/>
      <c r="T45" s="4"/>
      <c r="U45" s="4"/>
      <c r="V45" s="4"/>
      <c r="W45" s="4">
        <f t="shared" si="7"/>
        <v>0</v>
      </c>
      <c r="X45" s="4">
        <f t="shared" si="6"/>
        <v>3647.1</v>
      </c>
      <c r="Y45" s="4" t="e">
        <f t="shared" si="1"/>
        <v>#DIV/0!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M45" s="4"/>
      <c r="AN45" s="4"/>
      <c r="AO45" s="4"/>
      <c r="AP45" s="4"/>
      <c r="AQ45" s="20">
        <f t="shared" si="2"/>
        <v>0</v>
      </c>
      <c r="AR45" s="4"/>
      <c r="AS45" s="4"/>
    </row>
    <row r="46" spans="1:45" ht="41.25" customHeight="1" x14ac:dyDescent="0.2">
      <c r="A46" s="4">
        <v>43</v>
      </c>
      <c r="B46" s="10">
        <v>45896</v>
      </c>
      <c r="C46" s="4"/>
      <c r="D46" s="4"/>
      <c r="E46" s="4">
        <f t="shared" si="8"/>
        <v>200</v>
      </c>
      <c r="F46" s="4"/>
      <c r="G46" s="4"/>
      <c r="H46" s="4">
        <f t="shared" si="3"/>
        <v>15</v>
      </c>
      <c r="I46" s="4">
        <f t="shared" si="0"/>
        <v>200</v>
      </c>
      <c r="J46" s="4"/>
      <c r="K46" s="4"/>
      <c r="L46" s="4">
        <f t="shared" si="4"/>
        <v>88</v>
      </c>
      <c r="N46" s="4"/>
      <c r="O46" s="4"/>
      <c r="P46" s="4"/>
      <c r="Q46" s="4"/>
      <c r="R46" s="4"/>
      <c r="T46" s="4"/>
      <c r="U46" s="4"/>
      <c r="V46" s="4"/>
      <c r="W46" s="4">
        <f t="shared" si="7"/>
        <v>0</v>
      </c>
      <c r="X46" s="4">
        <f t="shared" si="6"/>
        <v>3647.1</v>
      </c>
      <c r="Y46" s="4" t="e">
        <f t="shared" si="1"/>
        <v>#DIV/0!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M46" s="4"/>
      <c r="AN46" s="4"/>
      <c r="AO46" s="4"/>
      <c r="AP46" s="4"/>
      <c r="AQ46" s="20">
        <f t="shared" si="2"/>
        <v>0</v>
      </c>
      <c r="AR46" s="4"/>
      <c r="AS46" s="4"/>
    </row>
    <row r="47" spans="1:45" ht="41.25" customHeight="1" x14ac:dyDescent="0.2">
      <c r="A47" s="4">
        <v>44</v>
      </c>
      <c r="B47" s="10">
        <v>45897</v>
      </c>
      <c r="C47" s="4"/>
      <c r="D47" s="4"/>
      <c r="E47" s="4">
        <f t="shared" si="8"/>
        <v>200</v>
      </c>
      <c r="F47" s="4"/>
      <c r="G47" s="4"/>
      <c r="H47" s="4">
        <f t="shared" si="3"/>
        <v>0</v>
      </c>
      <c r="I47" s="4">
        <f t="shared" si="0"/>
        <v>200</v>
      </c>
      <c r="J47" s="4"/>
      <c r="K47" s="4"/>
      <c r="L47" s="4">
        <f t="shared" si="4"/>
        <v>88</v>
      </c>
      <c r="N47" s="4"/>
      <c r="O47" s="4"/>
      <c r="P47" s="4"/>
      <c r="Q47" s="4"/>
      <c r="R47" s="4"/>
      <c r="T47" s="4"/>
      <c r="U47" s="4"/>
      <c r="V47" s="4"/>
      <c r="W47" s="4">
        <f t="shared" si="7"/>
        <v>0</v>
      </c>
      <c r="X47" s="4">
        <f t="shared" si="6"/>
        <v>3647.1</v>
      </c>
      <c r="Y47" s="4" t="e">
        <f t="shared" si="1"/>
        <v>#DIV/0!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M47" s="4"/>
      <c r="AN47" s="4"/>
      <c r="AO47" s="4"/>
      <c r="AP47" s="4"/>
      <c r="AQ47" s="20">
        <f t="shared" si="2"/>
        <v>0</v>
      </c>
      <c r="AR47" s="4"/>
      <c r="AS47" s="4"/>
    </row>
    <row r="48" spans="1:45" ht="41.25" customHeight="1" x14ac:dyDescent="0.2">
      <c r="A48" s="4">
        <v>45</v>
      </c>
      <c r="B48" s="10">
        <v>45898</v>
      </c>
      <c r="C48" s="4"/>
      <c r="D48" s="4"/>
      <c r="E48" s="4">
        <f t="shared" si="8"/>
        <v>200</v>
      </c>
      <c r="F48" s="4"/>
      <c r="G48" s="4"/>
      <c r="H48" s="4">
        <f t="shared" si="3"/>
        <v>0</v>
      </c>
      <c r="I48" s="4">
        <f t="shared" si="0"/>
        <v>200</v>
      </c>
      <c r="J48" s="4"/>
      <c r="K48" s="4"/>
      <c r="L48" s="4">
        <f t="shared" si="4"/>
        <v>88</v>
      </c>
      <c r="N48" s="4"/>
      <c r="O48" s="4"/>
      <c r="P48" s="4"/>
      <c r="Q48" s="4"/>
      <c r="R48" s="4"/>
      <c r="T48" s="4"/>
      <c r="U48" s="4"/>
      <c r="V48" s="4"/>
      <c r="W48" s="4">
        <f t="shared" si="7"/>
        <v>0</v>
      </c>
      <c r="X48" s="4">
        <f t="shared" si="6"/>
        <v>3647.1</v>
      </c>
      <c r="Y48" s="4" t="e">
        <f t="shared" si="1"/>
        <v>#DIV/0!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M48" s="4"/>
      <c r="AN48" s="4"/>
      <c r="AO48" s="4"/>
      <c r="AP48" s="4"/>
      <c r="AQ48" s="20">
        <f t="shared" si="2"/>
        <v>0</v>
      </c>
      <c r="AR48" s="4"/>
      <c r="AS48" s="4"/>
    </row>
    <row r="49" spans="1:45" ht="41.25" customHeight="1" x14ac:dyDescent="0.2">
      <c r="A49" s="4">
        <v>46</v>
      </c>
      <c r="B49" s="10">
        <v>45899</v>
      </c>
      <c r="C49" s="4"/>
      <c r="D49" s="4"/>
      <c r="E49" s="4">
        <f t="shared" si="8"/>
        <v>200</v>
      </c>
      <c r="F49" s="4"/>
      <c r="G49" s="4"/>
      <c r="H49" s="4">
        <f t="shared" si="3"/>
        <v>0</v>
      </c>
      <c r="I49" s="4">
        <f t="shared" si="0"/>
        <v>200</v>
      </c>
      <c r="J49" s="4"/>
      <c r="K49" s="4"/>
      <c r="L49" s="4">
        <f t="shared" si="4"/>
        <v>88</v>
      </c>
      <c r="N49" s="4"/>
      <c r="O49" s="4"/>
      <c r="P49" s="4"/>
      <c r="Q49" s="4"/>
      <c r="R49" s="4"/>
      <c r="T49" s="4"/>
      <c r="U49" s="4"/>
      <c r="V49" s="4"/>
      <c r="W49" s="4">
        <f t="shared" si="7"/>
        <v>0</v>
      </c>
      <c r="X49" s="4">
        <f t="shared" si="6"/>
        <v>3647.1</v>
      </c>
      <c r="Y49" s="4" t="e">
        <f t="shared" si="1"/>
        <v>#DIV/0!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M49" s="4"/>
      <c r="AN49" s="4"/>
      <c r="AO49" s="4"/>
      <c r="AP49" s="4"/>
      <c r="AQ49" s="20">
        <f t="shared" si="2"/>
        <v>0</v>
      </c>
      <c r="AR49" s="4"/>
      <c r="AS49" s="4"/>
    </row>
    <row r="50" spans="1:45" ht="41.25" customHeight="1" x14ac:dyDescent="0.2">
      <c r="A50" s="4">
        <v>47</v>
      </c>
      <c r="B50" s="10">
        <v>45900</v>
      </c>
      <c r="C50" s="4"/>
      <c r="D50" s="4"/>
      <c r="E50" s="4">
        <f t="shared" si="8"/>
        <v>200</v>
      </c>
      <c r="F50" s="4"/>
      <c r="G50" s="4"/>
      <c r="H50" s="4">
        <f t="shared" si="3"/>
        <v>0</v>
      </c>
      <c r="I50" s="4">
        <f t="shared" si="0"/>
        <v>200</v>
      </c>
      <c r="J50" s="4"/>
      <c r="K50" s="4"/>
      <c r="L50" s="4">
        <f t="shared" si="4"/>
        <v>88</v>
      </c>
      <c r="N50" s="4"/>
      <c r="O50" s="4"/>
      <c r="P50" s="4"/>
      <c r="Q50" s="4"/>
      <c r="R50" s="4"/>
      <c r="T50" s="4"/>
      <c r="U50" s="4"/>
      <c r="V50" s="4"/>
      <c r="W50" s="4">
        <f t="shared" si="7"/>
        <v>0</v>
      </c>
      <c r="X50" s="4">
        <f t="shared" si="6"/>
        <v>3647.1</v>
      </c>
      <c r="Y50" s="4" t="e">
        <f t="shared" si="1"/>
        <v>#DIV/0!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M50" s="4"/>
      <c r="AN50" s="4"/>
      <c r="AO50" s="4"/>
      <c r="AP50" s="4"/>
      <c r="AQ50" s="20">
        <f t="shared" si="2"/>
        <v>0</v>
      </c>
      <c r="AR50" s="4"/>
      <c r="AS50" s="4"/>
    </row>
    <row r="51" spans="1:45" ht="41.25" customHeight="1" x14ac:dyDescent="0.2">
      <c r="A51" s="4">
        <v>48</v>
      </c>
      <c r="B51" s="10">
        <v>45901</v>
      </c>
      <c r="C51" s="4"/>
      <c r="D51" s="4"/>
      <c r="E51" s="4">
        <f t="shared" si="8"/>
        <v>200</v>
      </c>
      <c r="F51" s="4"/>
      <c r="G51" s="4"/>
      <c r="H51" s="4">
        <f t="shared" si="3"/>
        <v>0</v>
      </c>
      <c r="I51" s="4">
        <f t="shared" si="0"/>
        <v>200</v>
      </c>
      <c r="J51" s="4"/>
      <c r="K51" s="4"/>
      <c r="L51" s="4">
        <f t="shared" si="4"/>
        <v>88</v>
      </c>
      <c r="N51" s="4"/>
      <c r="O51" s="4"/>
      <c r="P51" s="4"/>
      <c r="Q51" s="4"/>
      <c r="R51" s="4"/>
      <c r="T51" s="4"/>
      <c r="U51" s="4"/>
      <c r="V51" s="4"/>
      <c r="W51" s="4">
        <f t="shared" si="7"/>
        <v>0</v>
      </c>
      <c r="X51" s="4">
        <f t="shared" si="6"/>
        <v>3647.1</v>
      </c>
      <c r="Y51" s="4" t="e">
        <f t="shared" si="1"/>
        <v>#DIV/0!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M51" s="4"/>
      <c r="AN51" s="4"/>
      <c r="AO51" s="4"/>
      <c r="AP51" s="4"/>
      <c r="AQ51" s="20">
        <f t="shared" si="2"/>
        <v>0</v>
      </c>
      <c r="AR51" s="4"/>
      <c r="AS51" s="4"/>
    </row>
    <row r="52" spans="1:45" ht="41.25" customHeight="1" x14ac:dyDescent="0.2">
      <c r="A52" s="4">
        <v>49</v>
      </c>
      <c r="B52" s="10">
        <v>45902</v>
      </c>
      <c r="C52" s="4"/>
      <c r="D52" s="4"/>
      <c r="E52" s="4">
        <f t="shared" si="8"/>
        <v>200</v>
      </c>
      <c r="F52" s="4"/>
      <c r="G52" s="4"/>
      <c r="H52" s="4">
        <f t="shared" si="3"/>
        <v>0</v>
      </c>
      <c r="I52" s="4">
        <f t="shared" si="0"/>
        <v>200</v>
      </c>
      <c r="J52" s="4"/>
      <c r="K52" s="4"/>
      <c r="L52" s="4">
        <f t="shared" si="4"/>
        <v>88</v>
      </c>
      <c r="N52" s="4"/>
      <c r="O52" s="4"/>
      <c r="P52" s="4"/>
      <c r="Q52" s="4"/>
      <c r="T52" s="4"/>
      <c r="U52" s="4"/>
      <c r="V52" s="4"/>
      <c r="W52" s="4">
        <f t="shared" si="7"/>
        <v>0</v>
      </c>
      <c r="X52" s="4">
        <f t="shared" si="6"/>
        <v>3647.1</v>
      </c>
      <c r="Y52" s="4" t="e">
        <f t="shared" si="1"/>
        <v>#DIV/0!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M52" s="4"/>
      <c r="AN52" s="4"/>
      <c r="AO52" s="4"/>
      <c r="AP52" s="4"/>
      <c r="AQ52" s="20">
        <f t="shared" si="2"/>
        <v>0</v>
      </c>
      <c r="AR52" s="4"/>
    </row>
    <row r="53" spans="1:45" ht="41.25" customHeight="1" x14ac:dyDescent="0.2">
      <c r="A53" s="4">
        <v>50</v>
      </c>
      <c r="B53" s="10">
        <v>45903</v>
      </c>
      <c r="C53" s="4"/>
      <c r="D53" s="4"/>
      <c r="E53" s="4">
        <f t="shared" si="8"/>
        <v>200</v>
      </c>
      <c r="F53" s="4"/>
      <c r="G53" s="4"/>
      <c r="H53" s="4">
        <f t="shared" si="3"/>
        <v>0</v>
      </c>
      <c r="I53" s="4">
        <f t="shared" si="0"/>
        <v>200</v>
      </c>
      <c r="J53" s="4"/>
      <c r="K53" s="4"/>
      <c r="L53" s="4">
        <f t="shared" si="4"/>
        <v>88</v>
      </c>
      <c r="N53" s="4"/>
      <c r="O53" s="4"/>
      <c r="P53" s="4"/>
      <c r="Q53" s="4"/>
      <c r="R53" s="4"/>
      <c r="T53" s="4"/>
      <c r="U53" s="4"/>
      <c r="V53" s="4"/>
      <c r="W53" s="4">
        <f t="shared" si="7"/>
        <v>0</v>
      </c>
      <c r="X53" s="4">
        <f t="shared" si="6"/>
        <v>3647.1</v>
      </c>
      <c r="Y53" s="4" t="e">
        <f t="shared" si="1"/>
        <v>#DIV/0!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M53" s="4"/>
      <c r="AN53" s="4"/>
      <c r="AO53" s="4"/>
      <c r="AP53" s="4"/>
      <c r="AQ53" s="20">
        <f t="shared" si="2"/>
        <v>0</v>
      </c>
      <c r="AR53" s="4"/>
      <c r="AS53" s="4"/>
    </row>
    <row r="54" spans="1:45" ht="41.25" customHeight="1" x14ac:dyDescent="0.2">
      <c r="H54" s="4"/>
      <c r="AE54" s="4"/>
      <c r="AF54" s="4"/>
      <c r="AG54" s="4"/>
      <c r="AH54" s="4"/>
      <c r="AI54" s="4"/>
      <c r="AJ54" s="4"/>
      <c r="AK54" s="4"/>
      <c r="AQ54" s="20">
        <f t="shared" si="2"/>
        <v>0</v>
      </c>
    </row>
    <row r="55" spans="1:45" ht="41.25" customHeight="1" x14ac:dyDescent="0.2">
      <c r="AE55" s="4"/>
      <c r="AF55" s="4"/>
      <c r="AG55" s="4"/>
      <c r="AH55" s="4"/>
      <c r="AI55" s="4"/>
      <c r="AJ55" s="4"/>
      <c r="AK55" s="4"/>
      <c r="AL55" s="1"/>
      <c r="AQ55" s="20">
        <f t="shared" si="2"/>
        <v>0</v>
      </c>
    </row>
    <row r="56" spans="1:45" ht="41.25" customHeight="1" x14ac:dyDescent="0.2">
      <c r="AM56" s="4"/>
      <c r="AN56" s="4"/>
      <c r="AO56" s="4"/>
      <c r="AP56" s="4"/>
      <c r="AQ56" s="20">
        <f t="shared" si="2"/>
        <v>0</v>
      </c>
      <c r="AR56" s="4"/>
      <c r="AS56" s="4"/>
    </row>
    <row r="57" spans="1:45" ht="41.25" customHeight="1" x14ac:dyDescent="0.2">
      <c r="AM57" s="4"/>
      <c r="AN57" s="4"/>
      <c r="AO57" s="4"/>
      <c r="AP57" s="4"/>
      <c r="AQ57" s="20">
        <f t="shared" si="2"/>
        <v>0</v>
      </c>
      <c r="AR57" s="4"/>
      <c r="AS57" s="4"/>
    </row>
    <row r="58" spans="1:45" ht="41.25" customHeight="1" x14ac:dyDescent="0.2">
      <c r="AM58" s="4"/>
      <c r="AN58" s="4"/>
      <c r="AO58" s="4"/>
      <c r="AP58" s="4"/>
      <c r="AQ58" s="20">
        <f t="shared" si="2"/>
        <v>0</v>
      </c>
      <c r="AR58" s="4"/>
      <c r="AS58" s="4"/>
    </row>
    <row r="59" spans="1:45" ht="41.25" customHeight="1" x14ac:dyDescent="0.2">
      <c r="AM59" s="4"/>
      <c r="AN59" s="4"/>
      <c r="AO59" s="4"/>
      <c r="AP59" s="4"/>
      <c r="AQ59" s="20">
        <f t="shared" si="2"/>
        <v>0</v>
      </c>
      <c r="AR59" s="4"/>
      <c r="AS59" s="4"/>
    </row>
    <row r="60" spans="1:45" ht="41.25" customHeight="1" x14ac:dyDescent="0.2">
      <c r="AM60" s="4"/>
      <c r="AN60" s="4"/>
      <c r="AO60" s="4"/>
      <c r="AP60" s="4"/>
      <c r="AQ60" s="20">
        <f t="shared" si="2"/>
        <v>0</v>
      </c>
      <c r="AR60" s="4"/>
      <c r="AS60" s="4"/>
    </row>
    <row r="61" spans="1:45" ht="41.25" customHeight="1" x14ac:dyDescent="0.2">
      <c r="AM61" s="4"/>
      <c r="AN61" s="4"/>
      <c r="AO61" s="4"/>
      <c r="AP61" s="4"/>
      <c r="AQ61" s="20">
        <f t="shared" si="2"/>
        <v>0</v>
      </c>
      <c r="AR61" s="4"/>
      <c r="AS61" s="4"/>
    </row>
    <row r="62" spans="1:45" ht="41.25" customHeight="1" x14ac:dyDescent="0.2">
      <c r="AM62" s="4"/>
      <c r="AN62" s="4"/>
      <c r="AO62" s="4"/>
      <c r="AP62" s="4"/>
      <c r="AQ62" s="20">
        <f t="shared" si="2"/>
        <v>0</v>
      </c>
      <c r="AR62" s="4"/>
      <c r="AS62" s="4"/>
    </row>
    <row r="63" spans="1:45" ht="41.25" customHeight="1" x14ac:dyDescent="0.2">
      <c r="AM63" s="4"/>
      <c r="AN63" s="4"/>
      <c r="AO63" s="4"/>
      <c r="AP63" s="4"/>
      <c r="AQ63" s="20">
        <f t="shared" si="2"/>
        <v>0</v>
      </c>
      <c r="AR63" s="4"/>
      <c r="AS63" s="4"/>
    </row>
    <row r="64" spans="1:45" ht="41.25" customHeight="1" x14ac:dyDescent="0.2">
      <c r="AM64" s="4"/>
      <c r="AN64" s="4"/>
      <c r="AO64" s="4"/>
      <c r="AP64" s="4"/>
      <c r="AQ64" s="20">
        <f t="shared" si="2"/>
        <v>0</v>
      </c>
      <c r="AR64" s="4"/>
      <c r="AS64" s="4"/>
    </row>
  </sheetData>
  <mergeCells count="27">
    <mergeCell ref="AH4:AH5"/>
    <mergeCell ref="AI4:AI5"/>
    <mergeCell ref="AK4:AK5"/>
    <mergeCell ref="AJ4:AJ5"/>
    <mergeCell ref="AH2:AJ2"/>
    <mergeCell ref="AM35:AM38"/>
    <mergeCell ref="AM21:AM22"/>
    <mergeCell ref="AM24:AM27"/>
    <mergeCell ref="AM28:AM29"/>
    <mergeCell ref="AM31:AM32"/>
    <mergeCell ref="AM33:AM34"/>
    <mergeCell ref="AM4:AM7"/>
    <mergeCell ref="AM8:AM10"/>
    <mergeCell ref="AM11:AM12"/>
    <mergeCell ref="AM13:AM16"/>
    <mergeCell ref="AM17:AM20"/>
    <mergeCell ref="C1:K1"/>
    <mergeCell ref="T1:AK1"/>
    <mergeCell ref="A2:B2"/>
    <mergeCell ref="C2:K2"/>
    <mergeCell ref="AC2:AF2"/>
    <mergeCell ref="AM2:AS2"/>
    <mergeCell ref="N1:R1"/>
    <mergeCell ref="N2:R2"/>
    <mergeCell ref="T2:U2"/>
    <mergeCell ref="V2:W2"/>
    <mergeCell ref="X2:Z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A211-2EA3-4E6E-9D32-F57F11C051EA}">
  <sheetPr>
    <tabColor rgb="FF002060"/>
  </sheetPr>
  <dimension ref="A1:AS64"/>
  <sheetViews>
    <sheetView zoomScale="89" zoomScaleNormal="89" workbookViewId="0">
      <pane ySplit="3" topLeftCell="A33" activePane="bottomLeft" state="frozen"/>
      <selection pane="bottomLeft" activeCell="C4" sqref="C4"/>
    </sheetView>
  </sheetViews>
  <sheetFormatPr defaultColWidth="12.125" defaultRowHeight="18" x14ac:dyDescent="0.2"/>
  <cols>
    <col min="1" max="1" width="12.125" style="1"/>
    <col min="2" max="2" width="16.75" style="1" customWidth="1"/>
    <col min="3" max="5" width="12.125" style="1"/>
    <col min="6" max="6" width="13.375" style="1" customWidth="1"/>
    <col min="7" max="7" width="11.25" style="1" bestFit="1" customWidth="1"/>
    <col min="8" max="9" width="21.875" style="1" bestFit="1" customWidth="1"/>
    <col min="10" max="10" width="12.5" style="1" customWidth="1"/>
    <col min="11" max="11" width="13.25" style="1" customWidth="1"/>
    <col min="12" max="12" width="16.125" style="1" bestFit="1" customWidth="1"/>
    <col min="13" max="13" width="7.625" style="3" customWidth="1"/>
    <col min="14" max="14" width="20.875" style="1" customWidth="1"/>
    <col min="15" max="15" width="19.5" style="1" customWidth="1"/>
    <col min="16" max="16" width="18.25" style="1" customWidth="1"/>
    <col min="17" max="17" width="17.625" style="1" customWidth="1"/>
    <col min="18" max="18" width="21.375" style="1" customWidth="1"/>
    <col min="19" max="19" width="8.5" style="2" customWidth="1"/>
    <col min="20" max="20" width="15.625" style="1" customWidth="1"/>
    <col min="21" max="21" width="14.75" style="1" customWidth="1"/>
    <col min="22" max="22" width="15.375" style="1" customWidth="1"/>
    <col min="23" max="23" width="23" style="1" customWidth="1"/>
    <col min="24" max="25" width="22.625" style="1" customWidth="1"/>
    <col min="26" max="26" width="13" style="1" bestFit="1" customWidth="1"/>
    <col min="27" max="27" width="16.375" style="1" bestFit="1" customWidth="1"/>
    <col min="28" max="28" width="23.125" style="1" bestFit="1" customWidth="1"/>
    <col min="29" max="29" width="23.125" style="1" customWidth="1"/>
    <col min="30" max="30" width="12" style="1" customWidth="1"/>
    <col min="31" max="32" width="12.125" style="1"/>
    <col min="33" max="33" width="30.75" style="1" bestFit="1" customWidth="1"/>
    <col min="34" max="34" width="30.75" style="1" customWidth="1"/>
    <col min="35" max="35" width="29" style="1" bestFit="1" customWidth="1"/>
    <col min="36" max="36" width="13.75" style="1" customWidth="1"/>
    <col min="37" max="37" width="13.875" style="1" customWidth="1"/>
    <col min="38" max="38" width="10.375" style="7" customWidth="1"/>
    <col min="39" max="40" width="18.625" style="1" customWidth="1"/>
    <col min="41" max="41" width="19.125" style="1" customWidth="1"/>
    <col min="42" max="42" width="15.75" style="1" customWidth="1"/>
    <col min="43" max="43" width="16.5" style="1" customWidth="1"/>
    <col min="44" max="44" width="17.75" style="1" customWidth="1"/>
    <col min="45" max="45" width="17.375" style="1" customWidth="1"/>
    <col min="46" max="16384" width="12.125" style="1"/>
  </cols>
  <sheetData>
    <row r="1" spans="1:45" ht="41.25" customHeight="1" x14ac:dyDescent="0.2">
      <c r="A1" s="4"/>
      <c r="B1" s="9"/>
      <c r="C1" s="46" t="s">
        <v>95</v>
      </c>
      <c r="D1" s="46"/>
      <c r="E1" s="46"/>
      <c r="F1" s="46"/>
      <c r="G1" s="46"/>
      <c r="H1" s="46"/>
      <c r="I1" s="46"/>
      <c r="J1" s="46"/>
      <c r="K1" s="47"/>
      <c r="L1" s="4"/>
      <c r="N1" s="45"/>
      <c r="O1" s="46"/>
      <c r="P1" s="46"/>
      <c r="Q1" s="46"/>
      <c r="R1" s="47"/>
      <c r="T1" s="45" t="s">
        <v>26</v>
      </c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M1" s="4"/>
      <c r="AN1" s="4"/>
      <c r="AO1" s="4"/>
      <c r="AP1" s="4"/>
      <c r="AQ1" s="4"/>
      <c r="AR1" s="4"/>
      <c r="AS1" s="4"/>
    </row>
    <row r="2" spans="1:45" ht="41.25" customHeight="1" x14ac:dyDescent="0.2">
      <c r="A2" s="45" t="s">
        <v>91</v>
      </c>
      <c r="B2" s="46"/>
      <c r="C2" s="46" t="s">
        <v>93</v>
      </c>
      <c r="D2" s="46"/>
      <c r="E2" s="46"/>
      <c r="F2" s="46"/>
      <c r="G2" s="46"/>
      <c r="H2" s="46"/>
      <c r="I2" s="46"/>
      <c r="J2" s="46"/>
      <c r="K2" s="47"/>
      <c r="L2" s="4" t="s">
        <v>94</v>
      </c>
      <c r="N2" s="45" t="s">
        <v>27</v>
      </c>
      <c r="O2" s="46"/>
      <c r="P2" s="46"/>
      <c r="Q2" s="46"/>
      <c r="R2" s="47"/>
      <c r="T2" s="45" t="s">
        <v>40</v>
      </c>
      <c r="U2" s="46"/>
      <c r="V2" s="45" t="s">
        <v>41</v>
      </c>
      <c r="W2" s="47"/>
      <c r="X2" s="45">
        <v>2547</v>
      </c>
      <c r="Y2" s="46"/>
      <c r="Z2" s="47"/>
      <c r="AA2" s="6"/>
      <c r="AB2" s="6"/>
      <c r="AC2" s="46" t="s">
        <v>9</v>
      </c>
      <c r="AD2" s="46"/>
      <c r="AE2" s="46"/>
      <c r="AF2" s="47"/>
      <c r="AG2" s="4" t="s">
        <v>18</v>
      </c>
      <c r="AH2" s="45">
        <v>2311</v>
      </c>
      <c r="AI2" s="46"/>
      <c r="AJ2" s="47"/>
      <c r="AK2" s="4"/>
      <c r="AM2" s="48" t="s">
        <v>33</v>
      </c>
      <c r="AN2" s="48"/>
      <c r="AO2" s="48"/>
      <c r="AP2" s="48"/>
      <c r="AQ2" s="48"/>
      <c r="AR2" s="48"/>
      <c r="AS2" s="48"/>
    </row>
    <row r="3" spans="1:45" ht="41.2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11</v>
      </c>
      <c r="I3" s="4" t="s">
        <v>7</v>
      </c>
      <c r="J3" s="4" t="s">
        <v>8</v>
      </c>
      <c r="K3" s="4" t="s">
        <v>9</v>
      </c>
      <c r="L3" s="4" t="s">
        <v>10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T3" s="4" t="s">
        <v>1</v>
      </c>
      <c r="U3" s="4" t="s">
        <v>17</v>
      </c>
      <c r="V3" s="4" t="s">
        <v>8</v>
      </c>
      <c r="W3" s="4" t="s">
        <v>18</v>
      </c>
      <c r="X3" s="4" t="s">
        <v>19</v>
      </c>
      <c r="Y3" s="4" t="s">
        <v>8</v>
      </c>
      <c r="Z3" s="4" t="s">
        <v>38</v>
      </c>
      <c r="AA3" s="4" t="s">
        <v>25</v>
      </c>
      <c r="AB3" s="4" t="s">
        <v>18</v>
      </c>
      <c r="AC3" s="4" t="s">
        <v>23</v>
      </c>
      <c r="AD3" s="4" t="s">
        <v>20</v>
      </c>
      <c r="AE3" s="4" t="s">
        <v>21</v>
      </c>
      <c r="AF3" s="4" t="s">
        <v>22</v>
      </c>
      <c r="AG3" s="4" t="s">
        <v>43</v>
      </c>
      <c r="AH3" s="4" t="s">
        <v>7</v>
      </c>
      <c r="AI3" s="4" t="s">
        <v>44</v>
      </c>
      <c r="AJ3" s="4" t="s">
        <v>8</v>
      </c>
      <c r="AK3" s="4" t="s">
        <v>24</v>
      </c>
      <c r="AM3" s="4" t="s">
        <v>28</v>
      </c>
      <c r="AN3" s="4" t="s">
        <v>29</v>
      </c>
      <c r="AO3" s="4" t="s">
        <v>14</v>
      </c>
      <c r="AP3" s="4" t="s">
        <v>30</v>
      </c>
      <c r="AQ3" s="4" t="s">
        <v>31</v>
      </c>
      <c r="AR3" s="4" t="s">
        <v>32</v>
      </c>
      <c r="AS3" s="4" t="s">
        <v>16</v>
      </c>
    </row>
    <row r="4" spans="1:45" ht="41.25" customHeight="1" x14ac:dyDescent="0.2">
      <c r="A4" s="4">
        <v>1</v>
      </c>
      <c r="B4" s="10">
        <v>45854</v>
      </c>
      <c r="C4" s="4">
        <v>10</v>
      </c>
      <c r="D4" s="4"/>
      <c r="E4" s="4">
        <f>D4+C4+C5</f>
        <v>10</v>
      </c>
      <c r="F4" s="4">
        <v>9</v>
      </c>
      <c r="G4" s="4"/>
      <c r="H4" s="4">
        <v>0.5</v>
      </c>
      <c r="I4" s="4">
        <f>E4-F4-G4</f>
        <v>1</v>
      </c>
      <c r="J4" s="4"/>
      <c r="K4" s="4">
        <v>2</v>
      </c>
      <c r="L4" s="4">
        <v>2</v>
      </c>
      <c r="N4" s="4"/>
      <c r="O4" s="4"/>
      <c r="P4" s="4"/>
      <c r="Q4" s="4"/>
      <c r="R4" s="4"/>
      <c r="T4" s="4"/>
      <c r="U4" s="4">
        <v>1088</v>
      </c>
      <c r="V4" s="4">
        <v>1634.85</v>
      </c>
      <c r="W4" s="4">
        <v>1088</v>
      </c>
      <c r="X4" s="4">
        <v>1634.85</v>
      </c>
      <c r="Y4" s="4">
        <f>X4/W4</f>
        <v>1.5026194852941175</v>
      </c>
      <c r="Z4" s="4">
        <v>232</v>
      </c>
      <c r="AA4" s="4">
        <f>Z4*100/X2</f>
        <v>9.1087553985080483</v>
      </c>
      <c r="AB4" s="4">
        <v>2311</v>
      </c>
      <c r="AC4" s="4">
        <f>AB4+Z4-X2</f>
        <v>-4</v>
      </c>
      <c r="AD4" s="4">
        <v>71</v>
      </c>
      <c r="AE4" s="4">
        <v>22</v>
      </c>
      <c r="AF4" s="4">
        <v>17</v>
      </c>
      <c r="AG4" s="4">
        <v>3180.4</v>
      </c>
      <c r="AH4" s="42">
        <v>158</v>
      </c>
      <c r="AI4" s="42">
        <f>AH4*30.76</f>
        <v>4860.08</v>
      </c>
      <c r="AJ4" s="42">
        <f>AI4/AG5</f>
        <v>1.5043427121057356</v>
      </c>
      <c r="AK4" s="42">
        <f>AI4/AG5</f>
        <v>1.5043427121057356</v>
      </c>
      <c r="AM4" s="48" t="s">
        <v>49</v>
      </c>
      <c r="AN4" s="4" t="s">
        <v>45</v>
      </c>
      <c r="AO4" s="20">
        <v>37</v>
      </c>
      <c r="AP4" s="4">
        <v>4</v>
      </c>
      <c r="AQ4" s="20">
        <f>AO4*AP4</f>
        <v>148</v>
      </c>
      <c r="AR4" s="4"/>
      <c r="AS4" s="4"/>
    </row>
    <row r="5" spans="1:45" ht="41.25" customHeight="1" x14ac:dyDescent="0.2">
      <c r="A5" s="4">
        <v>2</v>
      </c>
      <c r="B5" s="10">
        <v>45855</v>
      </c>
      <c r="C5" s="4"/>
      <c r="D5" s="4"/>
      <c r="E5" s="4">
        <v>10</v>
      </c>
      <c r="F5" s="4">
        <v>8</v>
      </c>
      <c r="G5" s="4"/>
      <c r="H5" s="4">
        <f>I5-I4</f>
        <v>1</v>
      </c>
      <c r="I5" s="4">
        <f>E5-F5-G5</f>
        <v>2</v>
      </c>
      <c r="J5" s="4"/>
      <c r="K5" s="4">
        <v>7</v>
      </c>
      <c r="L5" s="4">
        <f>L4+K5</f>
        <v>9</v>
      </c>
      <c r="N5" s="4"/>
      <c r="O5" s="4"/>
      <c r="P5" s="4"/>
      <c r="Q5" s="4"/>
      <c r="R5" s="4"/>
      <c r="T5" s="4"/>
      <c r="U5" s="4">
        <v>569</v>
      </c>
      <c r="V5" s="4">
        <v>733.8</v>
      </c>
      <c r="W5" s="4">
        <f>W4+U5</f>
        <v>1657</v>
      </c>
      <c r="X5" s="4">
        <f>X4+V5</f>
        <v>2368.6499999999996</v>
      </c>
      <c r="Y5" s="4">
        <f t="shared" ref="Y5:Y53" si="0">X5/W5</f>
        <v>1.4294809897404948</v>
      </c>
      <c r="Z5" s="4"/>
      <c r="AA5" s="4"/>
      <c r="AB5" s="4"/>
      <c r="AC5" s="4"/>
      <c r="AD5" s="4">
        <f>AD4*0.3</f>
        <v>21.3</v>
      </c>
      <c r="AE5" s="4">
        <f>AE4*0.7</f>
        <v>15.399999999999999</v>
      </c>
      <c r="AF5" s="4">
        <f>AF4*0.8</f>
        <v>13.600000000000001</v>
      </c>
      <c r="AG5" s="4">
        <f>AG4+AD5+AE5+AF5</f>
        <v>3230.7000000000003</v>
      </c>
      <c r="AH5" s="44"/>
      <c r="AI5" s="44"/>
      <c r="AJ5" s="44"/>
      <c r="AK5" s="44"/>
      <c r="AM5" s="48"/>
      <c r="AN5" s="4" t="s">
        <v>77</v>
      </c>
      <c r="AO5" s="20">
        <v>25</v>
      </c>
      <c r="AP5" s="4">
        <v>4</v>
      </c>
      <c r="AQ5" s="20">
        <f t="shared" ref="AQ5:AQ64" si="1">AO5*AP5</f>
        <v>100</v>
      </c>
      <c r="AR5" s="4"/>
      <c r="AS5" s="4"/>
    </row>
    <row r="6" spans="1:45" ht="41.25" customHeight="1" x14ac:dyDescent="0.2">
      <c r="A6" s="4">
        <v>3</v>
      </c>
      <c r="B6" s="10">
        <v>45856</v>
      </c>
      <c r="C6" s="4"/>
      <c r="D6" s="4"/>
      <c r="E6" s="4">
        <v>10</v>
      </c>
      <c r="F6" s="4">
        <v>7</v>
      </c>
      <c r="G6" s="4"/>
      <c r="H6" s="4">
        <f t="shared" ref="H6:H53" si="2">I6-I5</f>
        <v>1</v>
      </c>
      <c r="I6" s="4">
        <f t="shared" ref="I6:I53" si="3">E6-F6-G6</f>
        <v>3</v>
      </c>
      <c r="J6" s="4"/>
      <c r="K6" s="4">
        <v>7</v>
      </c>
      <c r="L6" s="4">
        <f t="shared" ref="L6:L53" si="4">L5+K6</f>
        <v>16</v>
      </c>
      <c r="N6" s="4"/>
      <c r="O6" s="4"/>
      <c r="P6" s="4"/>
      <c r="Q6" s="4"/>
      <c r="R6" s="4"/>
      <c r="T6" s="4"/>
      <c r="U6" s="4">
        <v>559</v>
      </c>
      <c r="V6" s="4">
        <v>698.45</v>
      </c>
      <c r="W6" s="4">
        <f t="shared" ref="W6:W53" si="5">W5+U6</f>
        <v>2216</v>
      </c>
      <c r="X6" s="4">
        <f t="shared" ref="X6:X53" si="6">X5+V6</f>
        <v>3067.0999999999995</v>
      </c>
      <c r="Y6" s="4">
        <f t="shared" si="0"/>
        <v>1.384070397111913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M6" s="48"/>
      <c r="AN6" s="4" t="s">
        <v>47</v>
      </c>
      <c r="AO6" s="20">
        <v>25</v>
      </c>
      <c r="AP6" s="4">
        <v>4</v>
      </c>
      <c r="AQ6" s="20">
        <f t="shared" si="1"/>
        <v>100</v>
      </c>
      <c r="AR6" s="4"/>
      <c r="AS6" s="4"/>
    </row>
    <row r="7" spans="1:45" ht="41.25" customHeight="1" x14ac:dyDescent="0.2">
      <c r="A7" s="4">
        <v>4</v>
      </c>
      <c r="B7" s="10">
        <v>45857</v>
      </c>
      <c r="C7" s="4"/>
      <c r="D7" s="4"/>
      <c r="E7" s="4">
        <v>10</v>
      </c>
      <c r="F7" s="4">
        <v>6</v>
      </c>
      <c r="G7" s="4"/>
      <c r="H7" s="4">
        <f t="shared" si="2"/>
        <v>1</v>
      </c>
      <c r="I7" s="4">
        <f t="shared" si="3"/>
        <v>4</v>
      </c>
      <c r="J7" s="4"/>
      <c r="K7" s="4">
        <v>4</v>
      </c>
      <c r="L7" s="4">
        <f t="shared" si="4"/>
        <v>20</v>
      </c>
      <c r="N7" s="4"/>
      <c r="O7" s="4"/>
      <c r="P7" s="4"/>
      <c r="Q7" s="4"/>
      <c r="R7" s="4"/>
      <c r="T7" s="4"/>
      <c r="U7" s="4">
        <v>52</v>
      </c>
      <c r="V7" s="4">
        <v>62.95</v>
      </c>
      <c r="W7" s="4">
        <f t="shared" si="5"/>
        <v>2268</v>
      </c>
      <c r="X7" s="4">
        <f t="shared" si="6"/>
        <v>3130.0499999999993</v>
      </c>
      <c r="Y7" s="4">
        <f t="shared" si="0"/>
        <v>1.3800925925925922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M7" s="48"/>
      <c r="AN7" s="4" t="s">
        <v>48</v>
      </c>
      <c r="AO7" s="11">
        <v>25</v>
      </c>
      <c r="AP7" s="4">
        <v>4</v>
      </c>
      <c r="AQ7" s="11">
        <f t="shared" si="1"/>
        <v>100</v>
      </c>
      <c r="AR7" s="4"/>
      <c r="AS7" s="4"/>
    </row>
    <row r="8" spans="1:45" ht="41.25" customHeight="1" x14ac:dyDescent="0.2">
      <c r="A8" s="4">
        <v>5</v>
      </c>
      <c r="B8" s="10">
        <v>45858</v>
      </c>
      <c r="C8" s="4"/>
      <c r="D8" s="4"/>
      <c r="E8" s="4">
        <v>10</v>
      </c>
      <c r="F8" s="4">
        <v>5</v>
      </c>
      <c r="G8" s="4"/>
      <c r="H8" s="4">
        <f t="shared" si="2"/>
        <v>1</v>
      </c>
      <c r="I8" s="4">
        <f t="shared" si="3"/>
        <v>5</v>
      </c>
      <c r="J8" s="4"/>
      <c r="K8" s="4">
        <v>7</v>
      </c>
      <c r="L8" s="4">
        <f t="shared" si="4"/>
        <v>27</v>
      </c>
      <c r="N8" s="4"/>
      <c r="O8" s="4"/>
      <c r="P8" s="4"/>
      <c r="Q8" s="4"/>
      <c r="T8" s="4"/>
      <c r="U8" s="4">
        <v>43</v>
      </c>
      <c r="V8" s="4">
        <v>50.35</v>
      </c>
      <c r="W8" s="4">
        <f t="shared" si="5"/>
        <v>2311</v>
      </c>
      <c r="X8" s="4">
        <f t="shared" si="6"/>
        <v>3180.3999999999992</v>
      </c>
      <c r="Y8" s="4">
        <f t="shared" si="0"/>
        <v>1.3762007788835999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M8" s="48" t="s">
        <v>52</v>
      </c>
      <c r="AN8" s="4" t="s">
        <v>50</v>
      </c>
      <c r="AO8" s="11">
        <v>22</v>
      </c>
      <c r="AP8" s="4">
        <v>3</v>
      </c>
      <c r="AQ8" s="11">
        <f t="shared" si="1"/>
        <v>66</v>
      </c>
      <c r="AR8" s="4"/>
      <c r="AS8" s="4"/>
    </row>
    <row r="9" spans="1:45" ht="41.25" customHeight="1" x14ac:dyDescent="0.2">
      <c r="A9" s="4">
        <v>6</v>
      </c>
      <c r="B9" s="10">
        <v>45859</v>
      </c>
      <c r="C9" s="4"/>
      <c r="D9" s="4"/>
      <c r="E9" s="4">
        <v>10</v>
      </c>
      <c r="F9" s="4">
        <v>4</v>
      </c>
      <c r="G9" s="4"/>
      <c r="H9" s="4">
        <f t="shared" si="2"/>
        <v>1</v>
      </c>
      <c r="I9" s="4">
        <f t="shared" si="3"/>
        <v>6</v>
      </c>
      <c r="J9" s="4"/>
      <c r="K9" s="4">
        <v>6</v>
      </c>
      <c r="L9" s="4">
        <f t="shared" si="4"/>
        <v>33</v>
      </c>
      <c r="N9" s="4"/>
      <c r="O9" s="4"/>
      <c r="P9" s="4"/>
      <c r="Q9" s="4"/>
      <c r="R9" s="4"/>
      <c r="T9" s="4"/>
      <c r="U9" s="4"/>
      <c r="V9" s="4"/>
      <c r="W9" s="4">
        <f t="shared" si="5"/>
        <v>2311</v>
      </c>
      <c r="X9" s="4">
        <f t="shared" si="6"/>
        <v>3180.3999999999992</v>
      </c>
      <c r="Y9" s="4">
        <f t="shared" si="0"/>
        <v>1.3762007788835999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M9" s="48"/>
      <c r="AN9" s="4" t="s">
        <v>51</v>
      </c>
      <c r="AO9" s="11">
        <v>15</v>
      </c>
      <c r="AP9" s="4">
        <v>3</v>
      </c>
      <c r="AQ9" s="11">
        <f t="shared" si="1"/>
        <v>45</v>
      </c>
      <c r="AR9" s="4"/>
      <c r="AS9" s="4"/>
    </row>
    <row r="10" spans="1:45" ht="41.25" customHeight="1" x14ac:dyDescent="0.2">
      <c r="A10" s="4">
        <v>7</v>
      </c>
      <c r="B10" s="10">
        <v>45860</v>
      </c>
      <c r="C10" s="4">
        <v>10</v>
      </c>
      <c r="D10" s="4"/>
      <c r="E10" s="4">
        <f>E9+D10+C10</f>
        <v>20</v>
      </c>
      <c r="F10" s="4">
        <v>12</v>
      </c>
      <c r="G10" s="4"/>
      <c r="H10" s="4">
        <f>I10-I9</f>
        <v>2</v>
      </c>
      <c r="I10" s="4">
        <f t="shared" si="3"/>
        <v>8</v>
      </c>
      <c r="J10" s="4"/>
      <c r="K10" s="4">
        <v>6</v>
      </c>
      <c r="L10" s="4">
        <f t="shared" si="4"/>
        <v>39</v>
      </c>
      <c r="N10" s="4"/>
      <c r="O10" s="4"/>
      <c r="P10" s="4"/>
      <c r="Q10" s="4"/>
      <c r="R10" s="4"/>
      <c r="T10" s="4"/>
      <c r="U10" s="4"/>
      <c r="V10" s="4"/>
      <c r="W10" s="4">
        <f t="shared" si="5"/>
        <v>2311</v>
      </c>
      <c r="X10" s="4">
        <f t="shared" si="6"/>
        <v>3180.3999999999992</v>
      </c>
      <c r="Y10" s="4">
        <f t="shared" si="0"/>
        <v>1.3762007788835999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M10" s="48"/>
      <c r="AN10" s="4" t="s">
        <v>58</v>
      </c>
      <c r="AO10" s="20">
        <v>15</v>
      </c>
      <c r="AP10" s="4">
        <v>3</v>
      </c>
      <c r="AQ10" s="20">
        <f t="shared" si="1"/>
        <v>45</v>
      </c>
      <c r="AR10" s="4"/>
      <c r="AS10" s="4"/>
    </row>
    <row r="11" spans="1:45" ht="41.25" customHeight="1" x14ac:dyDescent="0.2">
      <c r="A11" s="4">
        <v>8</v>
      </c>
      <c r="B11" s="10">
        <v>45861</v>
      </c>
      <c r="C11" s="4"/>
      <c r="D11" s="4"/>
      <c r="E11" s="4">
        <f t="shared" ref="E11:E53" si="7">E10+C11+D11</f>
        <v>20</v>
      </c>
      <c r="F11" s="4">
        <v>9</v>
      </c>
      <c r="G11" s="4"/>
      <c r="H11" s="4">
        <f t="shared" si="2"/>
        <v>3</v>
      </c>
      <c r="I11" s="4">
        <f t="shared" si="3"/>
        <v>11</v>
      </c>
      <c r="J11" s="4"/>
      <c r="K11" s="4">
        <v>5</v>
      </c>
      <c r="L11" s="4">
        <f t="shared" si="4"/>
        <v>44</v>
      </c>
      <c r="N11" s="4"/>
      <c r="O11" s="4"/>
      <c r="P11" s="4"/>
      <c r="Q11" s="4"/>
      <c r="R11" s="4"/>
      <c r="T11" s="4"/>
      <c r="U11" s="4"/>
      <c r="V11" s="4"/>
      <c r="W11" s="4">
        <f t="shared" si="5"/>
        <v>2311</v>
      </c>
      <c r="X11" s="4">
        <f t="shared" si="6"/>
        <v>3180.3999999999992</v>
      </c>
      <c r="Y11" s="4">
        <f t="shared" si="0"/>
        <v>1.3762007788835999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M11" s="48" t="s">
        <v>83</v>
      </c>
      <c r="AN11" s="4" t="s">
        <v>47</v>
      </c>
      <c r="AO11" s="20">
        <v>90</v>
      </c>
      <c r="AP11" s="4">
        <v>2</v>
      </c>
      <c r="AQ11" s="20">
        <f t="shared" si="1"/>
        <v>180</v>
      </c>
      <c r="AR11" s="4"/>
      <c r="AS11" s="4"/>
    </row>
    <row r="12" spans="1:45" ht="41.25" customHeight="1" x14ac:dyDescent="0.2">
      <c r="A12" s="4">
        <v>9</v>
      </c>
      <c r="B12" s="10">
        <v>45862</v>
      </c>
      <c r="C12" s="4"/>
      <c r="D12" s="4"/>
      <c r="E12" s="4">
        <f t="shared" si="7"/>
        <v>20</v>
      </c>
      <c r="F12" s="4">
        <v>8</v>
      </c>
      <c r="G12" s="4"/>
      <c r="H12" s="4">
        <f t="shared" si="2"/>
        <v>1</v>
      </c>
      <c r="I12" s="4">
        <f t="shared" si="3"/>
        <v>12</v>
      </c>
      <c r="J12" s="4"/>
      <c r="K12" s="4">
        <v>3</v>
      </c>
      <c r="L12" s="4">
        <f t="shared" si="4"/>
        <v>47</v>
      </c>
      <c r="N12" s="4"/>
      <c r="O12" s="4"/>
      <c r="P12" s="4"/>
      <c r="Q12" s="4"/>
      <c r="R12" s="4"/>
      <c r="T12" s="4"/>
      <c r="U12" s="4"/>
      <c r="V12" s="4"/>
      <c r="W12" s="4">
        <f t="shared" si="5"/>
        <v>2311</v>
      </c>
      <c r="X12" s="4">
        <f t="shared" si="6"/>
        <v>3180.3999999999992</v>
      </c>
      <c r="Y12" s="4">
        <f t="shared" si="0"/>
        <v>1.3762007788835999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M12" s="48"/>
      <c r="AN12" s="4" t="s">
        <v>61</v>
      </c>
      <c r="AO12" s="20">
        <v>20</v>
      </c>
      <c r="AP12" s="4">
        <v>2</v>
      </c>
      <c r="AQ12" s="20">
        <f t="shared" si="1"/>
        <v>40</v>
      </c>
      <c r="AR12" s="4"/>
      <c r="AS12" s="4"/>
    </row>
    <row r="13" spans="1:45" ht="41.25" customHeight="1" x14ac:dyDescent="0.2">
      <c r="A13" s="4">
        <v>10</v>
      </c>
      <c r="B13" s="10">
        <v>45863</v>
      </c>
      <c r="C13" s="4">
        <v>7</v>
      </c>
      <c r="D13" s="4"/>
      <c r="E13" s="4">
        <f>E12+C13+D13</f>
        <v>27</v>
      </c>
      <c r="F13" s="4">
        <v>13</v>
      </c>
      <c r="G13" s="4"/>
      <c r="H13" s="4">
        <f t="shared" si="2"/>
        <v>2</v>
      </c>
      <c r="I13" s="4">
        <f t="shared" si="3"/>
        <v>14</v>
      </c>
      <c r="J13" s="4"/>
      <c r="K13" s="4">
        <v>8</v>
      </c>
      <c r="L13" s="4">
        <f t="shared" si="4"/>
        <v>55</v>
      </c>
      <c r="N13" s="4"/>
      <c r="O13" s="4"/>
      <c r="P13" s="4"/>
      <c r="Q13" s="4"/>
      <c r="R13" s="4"/>
      <c r="T13" s="4"/>
      <c r="U13" s="4"/>
      <c r="V13" s="4"/>
      <c r="W13" s="4">
        <f t="shared" si="5"/>
        <v>2311</v>
      </c>
      <c r="X13" s="4">
        <f t="shared" si="6"/>
        <v>3180.3999999999992</v>
      </c>
      <c r="Y13" s="4">
        <f t="shared" si="0"/>
        <v>1.3762007788835999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M13" s="48">
        <v>10</v>
      </c>
      <c r="AN13" s="4" t="s">
        <v>84</v>
      </c>
      <c r="AO13" s="20">
        <v>75</v>
      </c>
      <c r="AP13" s="4">
        <v>1</v>
      </c>
      <c r="AQ13" s="20">
        <f t="shared" si="1"/>
        <v>75</v>
      </c>
      <c r="AR13" s="4"/>
      <c r="AS13" s="4"/>
    </row>
    <row r="14" spans="1:45" ht="41.25" customHeight="1" x14ac:dyDescent="0.2">
      <c r="A14" s="4">
        <v>11</v>
      </c>
      <c r="B14" s="10">
        <v>45864</v>
      </c>
      <c r="C14" s="4"/>
      <c r="D14" s="4"/>
      <c r="E14" s="4">
        <f t="shared" si="7"/>
        <v>27</v>
      </c>
      <c r="F14" s="4">
        <v>10</v>
      </c>
      <c r="G14" s="4"/>
      <c r="H14" s="4">
        <f t="shared" si="2"/>
        <v>3</v>
      </c>
      <c r="I14" s="4">
        <f t="shared" si="3"/>
        <v>17</v>
      </c>
      <c r="J14" s="4"/>
      <c r="K14" s="4">
        <v>8</v>
      </c>
      <c r="L14" s="4">
        <f t="shared" si="4"/>
        <v>63</v>
      </c>
      <c r="N14" s="4"/>
      <c r="O14" s="4"/>
      <c r="P14" s="4"/>
      <c r="Q14" s="4"/>
      <c r="R14" s="4"/>
      <c r="T14" s="4"/>
      <c r="U14" s="4"/>
      <c r="V14" s="4"/>
      <c r="W14" s="4">
        <f t="shared" si="5"/>
        <v>2311</v>
      </c>
      <c r="X14" s="4">
        <f t="shared" si="6"/>
        <v>3180.3999999999992</v>
      </c>
      <c r="Y14" s="4">
        <f t="shared" si="0"/>
        <v>1.3762007788835999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M14" s="48"/>
      <c r="AN14" s="4" t="s">
        <v>85</v>
      </c>
      <c r="AO14" s="4">
        <v>0.5</v>
      </c>
      <c r="AP14" s="4">
        <v>1</v>
      </c>
      <c r="AQ14" s="4">
        <f t="shared" si="1"/>
        <v>0.5</v>
      </c>
      <c r="AR14" s="4"/>
      <c r="AS14" s="4"/>
    </row>
    <row r="15" spans="1:45" ht="41.25" customHeight="1" x14ac:dyDescent="0.2">
      <c r="A15" s="4">
        <v>12</v>
      </c>
      <c r="B15" s="10">
        <v>45865</v>
      </c>
      <c r="C15" s="4"/>
      <c r="D15" s="4"/>
      <c r="E15" s="4">
        <f t="shared" si="7"/>
        <v>27</v>
      </c>
      <c r="F15" s="4">
        <v>7</v>
      </c>
      <c r="G15" s="4"/>
      <c r="H15" s="4">
        <f t="shared" si="2"/>
        <v>3</v>
      </c>
      <c r="I15" s="4">
        <f t="shared" si="3"/>
        <v>20</v>
      </c>
      <c r="J15" s="4"/>
      <c r="K15" s="4">
        <v>10</v>
      </c>
      <c r="L15" s="4">
        <f t="shared" si="4"/>
        <v>73</v>
      </c>
      <c r="N15" s="4"/>
      <c r="O15" s="4"/>
      <c r="P15" s="4"/>
      <c r="Q15" s="4"/>
      <c r="R15" s="4"/>
      <c r="T15" s="4"/>
      <c r="U15" s="4"/>
      <c r="V15" s="4"/>
      <c r="W15" s="4">
        <f t="shared" si="5"/>
        <v>2311</v>
      </c>
      <c r="X15" s="4">
        <f t="shared" si="6"/>
        <v>3180.3999999999992</v>
      </c>
      <c r="Y15" s="4">
        <f t="shared" si="0"/>
        <v>1.3762007788835999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M15" s="48"/>
      <c r="AN15" s="4" t="s">
        <v>67</v>
      </c>
      <c r="AO15" s="21">
        <v>1.5</v>
      </c>
      <c r="AP15" s="4">
        <v>1</v>
      </c>
      <c r="AQ15" s="21">
        <f t="shared" si="1"/>
        <v>1.5</v>
      </c>
      <c r="AR15" s="4"/>
      <c r="AS15" s="4"/>
    </row>
    <row r="16" spans="1:45" ht="41.25" customHeight="1" x14ac:dyDescent="0.2">
      <c r="A16" s="4">
        <v>13</v>
      </c>
      <c r="B16" s="10">
        <v>45866</v>
      </c>
      <c r="C16" s="4">
        <v>8</v>
      </c>
      <c r="D16" s="4"/>
      <c r="E16" s="4">
        <f t="shared" si="7"/>
        <v>35</v>
      </c>
      <c r="F16" s="4">
        <v>12</v>
      </c>
      <c r="G16" s="4"/>
      <c r="H16" s="4">
        <f t="shared" si="2"/>
        <v>3</v>
      </c>
      <c r="I16" s="4">
        <f t="shared" si="3"/>
        <v>23</v>
      </c>
      <c r="J16" s="4"/>
      <c r="K16" s="4">
        <v>8</v>
      </c>
      <c r="L16" s="4">
        <f t="shared" si="4"/>
        <v>81</v>
      </c>
      <c r="N16" s="4"/>
      <c r="O16" s="4"/>
      <c r="P16" s="4"/>
      <c r="Q16" s="4"/>
      <c r="R16" s="4"/>
      <c r="T16" s="4"/>
      <c r="U16" s="4"/>
      <c r="V16" s="4"/>
      <c r="W16" s="4">
        <f t="shared" si="5"/>
        <v>2311</v>
      </c>
      <c r="X16" s="4">
        <f t="shared" si="6"/>
        <v>3180.3999999999992</v>
      </c>
      <c r="Y16" s="4">
        <f t="shared" si="0"/>
        <v>1.3762007788835999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M16" s="48"/>
      <c r="AN16" s="4" t="s">
        <v>48</v>
      </c>
      <c r="AO16" s="11">
        <v>60</v>
      </c>
      <c r="AP16" s="4">
        <v>1</v>
      </c>
      <c r="AQ16" s="11">
        <f t="shared" si="1"/>
        <v>60</v>
      </c>
      <c r="AR16" s="4"/>
      <c r="AS16" s="4"/>
    </row>
    <row r="17" spans="1:45" ht="41.25" customHeight="1" x14ac:dyDescent="0.2">
      <c r="A17" s="4">
        <v>14</v>
      </c>
      <c r="B17" s="10">
        <v>45867</v>
      </c>
      <c r="C17" s="4"/>
      <c r="D17" s="4"/>
      <c r="E17" s="4">
        <f t="shared" si="7"/>
        <v>35</v>
      </c>
      <c r="F17" s="4">
        <v>8</v>
      </c>
      <c r="G17" s="4"/>
      <c r="H17" s="4">
        <f t="shared" si="2"/>
        <v>4</v>
      </c>
      <c r="I17" s="4">
        <f t="shared" si="3"/>
        <v>27</v>
      </c>
      <c r="J17" s="4"/>
      <c r="K17" s="4">
        <v>7</v>
      </c>
      <c r="L17" s="4">
        <f t="shared" si="4"/>
        <v>88</v>
      </c>
      <c r="N17" s="4"/>
      <c r="O17" s="4"/>
      <c r="P17" s="4"/>
      <c r="Q17" s="4"/>
      <c r="R17" s="4"/>
      <c r="T17" s="4"/>
      <c r="U17" s="4"/>
      <c r="V17" s="4"/>
      <c r="W17" s="4">
        <f t="shared" si="5"/>
        <v>2311</v>
      </c>
      <c r="X17" s="4">
        <f t="shared" si="6"/>
        <v>3180.3999999999992</v>
      </c>
      <c r="Y17" s="4">
        <f t="shared" si="0"/>
        <v>1.3762007788835999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M17" s="48">
        <v>11</v>
      </c>
      <c r="AN17" s="4" t="s">
        <v>84</v>
      </c>
      <c r="AO17" s="20">
        <v>75</v>
      </c>
      <c r="AP17" s="4">
        <v>1</v>
      </c>
      <c r="AQ17" s="20">
        <f t="shared" si="1"/>
        <v>75</v>
      </c>
      <c r="AR17" s="4"/>
      <c r="AS17" s="4"/>
    </row>
    <row r="18" spans="1:45" ht="41.25" customHeight="1" x14ac:dyDescent="0.2">
      <c r="A18" s="4">
        <v>15</v>
      </c>
      <c r="B18" s="10">
        <v>45868</v>
      </c>
      <c r="C18" s="4"/>
      <c r="D18" s="4"/>
      <c r="E18" s="4">
        <f t="shared" si="7"/>
        <v>35</v>
      </c>
      <c r="F18" s="4">
        <v>6</v>
      </c>
      <c r="G18" s="4"/>
      <c r="H18" s="4">
        <f t="shared" si="2"/>
        <v>2</v>
      </c>
      <c r="I18" s="4">
        <f t="shared" si="3"/>
        <v>29</v>
      </c>
      <c r="J18" s="4"/>
      <c r="K18" s="4">
        <v>4</v>
      </c>
      <c r="L18" s="4">
        <f t="shared" si="4"/>
        <v>92</v>
      </c>
      <c r="N18" s="4"/>
      <c r="O18" s="4"/>
      <c r="P18" s="4"/>
      <c r="Q18" s="4"/>
      <c r="R18" s="4"/>
      <c r="T18" s="4"/>
      <c r="U18" s="4"/>
      <c r="V18" s="4"/>
      <c r="W18" s="4">
        <f t="shared" si="5"/>
        <v>2311</v>
      </c>
      <c r="X18" s="4">
        <f t="shared" si="6"/>
        <v>3180.3999999999992</v>
      </c>
      <c r="Y18" s="4">
        <f t="shared" si="0"/>
        <v>1.3762007788835999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M18" s="48"/>
      <c r="AN18" s="4" t="s">
        <v>85</v>
      </c>
      <c r="AO18" s="4">
        <v>0.5</v>
      </c>
      <c r="AP18" s="4">
        <v>1</v>
      </c>
      <c r="AQ18" s="4">
        <f t="shared" si="1"/>
        <v>0.5</v>
      </c>
      <c r="AR18" s="4"/>
      <c r="AS18" s="4"/>
    </row>
    <row r="19" spans="1:45" ht="41.25" customHeight="1" x14ac:dyDescent="0.2">
      <c r="A19" s="4">
        <v>16</v>
      </c>
      <c r="B19" s="10">
        <v>45869</v>
      </c>
      <c r="C19" s="4">
        <v>10</v>
      </c>
      <c r="D19" s="4"/>
      <c r="E19" s="4">
        <f t="shared" si="7"/>
        <v>45</v>
      </c>
      <c r="F19" s="4">
        <v>10</v>
      </c>
      <c r="G19" s="4"/>
      <c r="H19" s="4">
        <f t="shared" si="2"/>
        <v>6</v>
      </c>
      <c r="I19" s="4">
        <f t="shared" si="3"/>
        <v>35</v>
      </c>
      <c r="J19" s="4"/>
      <c r="K19" s="4">
        <v>5</v>
      </c>
      <c r="L19" s="4">
        <f t="shared" si="4"/>
        <v>97</v>
      </c>
      <c r="N19" s="4"/>
      <c r="O19" s="4"/>
      <c r="P19" s="4"/>
      <c r="Q19" s="4"/>
      <c r="R19" s="4"/>
      <c r="T19" s="4"/>
      <c r="U19" s="4"/>
      <c r="V19" s="4"/>
      <c r="W19" s="4">
        <f t="shared" si="5"/>
        <v>2311</v>
      </c>
      <c r="X19" s="4">
        <f t="shared" si="6"/>
        <v>3180.3999999999992</v>
      </c>
      <c r="Y19" s="4">
        <f t="shared" si="0"/>
        <v>1.3762007788835999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M19" s="48"/>
      <c r="AN19" s="4" t="s">
        <v>62</v>
      </c>
      <c r="AO19" s="4">
        <v>3</v>
      </c>
      <c r="AP19" s="4">
        <v>1</v>
      </c>
      <c r="AQ19" s="4">
        <f t="shared" si="1"/>
        <v>3</v>
      </c>
      <c r="AR19" s="4"/>
      <c r="AS19" s="4"/>
    </row>
    <row r="20" spans="1:45" ht="41.25" customHeight="1" x14ac:dyDescent="0.2">
      <c r="A20" s="4">
        <v>17</v>
      </c>
      <c r="B20" s="10">
        <v>45870</v>
      </c>
      <c r="C20" s="4">
        <v>5</v>
      </c>
      <c r="D20" s="4"/>
      <c r="E20" s="4">
        <f t="shared" si="7"/>
        <v>50</v>
      </c>
      <c r="F20" s="4">
        <v>11</v>
      </c>
      <c r="G20" s="4"/>
      <c r="H20" s="4">
        <f t="shared" si="2"/>
        <v>4</v>
      </c>
      <c r="I20" s="4">
        <f t="shared" si="3"/>
        <v>39</v>
      </c>
      <c r="J20" s="4"/>
      <c r="K20" s="4">
        <v>4</v>
      </c>
      <c r="L20" s="4">
        <f t="shared" si="4"/>
        <v>101</v>
      </c>
      <c r="N20" s="4"/>
      <c r="O20" s="4"/>
      <c r="P20" s="4"/>
      <c r="Q20" s="4"/>
      <c r="R20" s="4"/>
      <c r="T20" s="4"/>
      <c r="U20" s="4"/>
      <c r="V20" s="4"/>
      <c r="W20" s="4">
        <f t="shared" si="5"/>
        <v>2311</v>
      </c>
      <c r="X20" s="4">
        <f t="shared" si="6"/>
        <v>3180.3999999999992</v>
      </c>
      <c r="Y20" s="4">
        <f t="shared" si="0"/>
        <v>1.3762007788835999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M20" s="48"/>
      <c r="AN20" s="4" t="s">
        <v>63</v>
      </c>
      <c r="AO20" s="11">
        <v>150</v>
      </c>
      <c r="AP20" s="4">
        <v>1</v>
      </c>
      <c r="AQ20" s="11">
        <f t="shared" si="1"/>
        <v>150</v>
      </c>
      <c r="AR20" s="4"/>
      <c r="AS20" s="4"/>
    </row>
    <row r="21" spans="1:45" ht="41.25" customHeight="1" x14ac:dyDescent="0.2">
      <c r="A21" s="4">
        <v>18</v>
      </c>
      <c r="B21" s="10">
        <v>45871</v>
      </c>
      <c r="C21" s="4"/>
      <c r="D21" s="4"/>
      <c r="E21" s="4">
        <f t="shared" si="7"/>
        <v>50</v>
      </c>
      <c r="F21" s="4">
        <v>7</v>
      </c>
      <c r="G21" s="4"/>
      <c r="H21" s="4">
        <f t="shared" si="2"/>
        <v>4</v>
      </c>
      <c r="I21" s="4">
        <f t="shared" si="3"/>
        <v>43</v>
      </c>
      <c r="J21" s="4"/>
      <c r="K21" s="4">
        <v>8</v>
      </c>
      <c r="L21" s="4">
        <f t="shared" si="4"/>
        <v>109</v>
      </c>
      <c r="N21" s="4"/>
      <c r="O21" s="4"/>
      <c r="P21" s="4"/>
      <c r="Q21" s="4"/>
      <c r="R21" s="4"/>
      <c r="T21" s="4"/>
      <c r="U21" s="4"/>
      <c r="V21" s="4"/>
      <c r="W21" s="4">
        <f t="shared" si="5"/>
        <v>2311</v>
      </c>
      <c r="X21" s="4">
        <f t="shared" si="6"/>
        <v>3180.3999999999992</v>
      </c>
      <c r="Y21" s="4">
        <f t="shared" si="0"/>
        <v>1.3762007788835999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M21" s="48">
        <v>12</v>
      </c>
      <c r="AN21" s="4" t="s">
        <v>84</v>
      </c>
      <c r="AO21" s="20">
        <v>100</v>
      </c>
      <c r="AP21" s="4">
        <v>1</v>
      </c>
      <c r="AQ21" s="20">
        <f t="shared" si="1"/>
        <v>100</v>
      </c>
      <c r="AR21" s="4"/>
      <c r="AS21" s="4"/>
    </row>
    <row r="22" spans="1:45" ht="41.25" customHeight="1" x14ac:dyDescent="0.2">
      <c r="A22" s="4">
        <v>19</v>
      </c>
      <c r="B22" s="10">
        <v>45872</v>
      </c>
      <c r="C22" s="4">
        <v>10</v>
      </c>
      <c r="D22" s="4"/>
      <c r="E22" s="4">
        <f t="shared" si="7"/>
        <v>60</v>
      </c>
      <c r="F22" s="4">
        <v>13</v>
      </c>
      <c r="G22" s="4"/>
      <c r="H22" s="4">
        <f t="shared" si="2"/>
        <v>4</v>
      </c>
      <c r="I22" s="4">
        <f t="shared" si="3"/>
        <v>47</v>
      </c>
      <c r="J22" s="4"/>
      <c r="K22" s="4">
        <v>5</v>
      </c>
      <c r="L22" s="4">
        <f t="shared" si="4"/>
        <v>114</v>
      </c>
      <c r="N22" s="4"/>
      <c r="O22" s="4"/>
      <c r="P22" s="4"/>
      <c r="Q22" s="4"/>
      <c r="R22" s="4"/>
      <c r="T22" s="4"/>
      <c r="U22" s="4"/>
      <c r="V22" s="4"/>
      <c r="W22" s="4">
        <f t="shared" si="5"/>
        <v>2311</v>
      </c>
      <c r="X22" s="4">
        <f t="shared" si="6"/>
        <v>3180.3999999999992</v>
      </c>
      <c r="Y22" s="4">
        <f t="shared" si="0"/>
        <v>1.3762007788835999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M22" s="48"/>
      <c r="AN22" s="4" t="s">
        <v>85</v>
      </c>
      <c r="AO22" s="4">
        <v>1</v>
      </c>
      <c r="AP22" s="4">
        <v>1</v>
      </c>
      <c r="AQ22" s="4">
        <f t="shared" si="1"/>
        <v>1</v>
      </c>
      <c r="AR22" s="4"/>
      <c r="AS22" s="4"/>
    </row>
    <row r="23" spans="1:45" ht="41.25" customHeight="1" x14ac:dyDescent="0.2">
      <c r="A23" s="4">
        <v>20</v>
      </c>
      <c r="B23" s="10">
        <v>45873</v>
      </c>
      <c r="C23" s="4"/>
      <c r="D23" s="4"/>
      <c r="E23" s="4">
        <f t="shared" si="7"/>
        <v>60</v>
      </c>
      <c r="F23" s="4">
        <v>9</v>
      </c>
      <c r="G23" s="4"/>
      <c r="H23" s="4">
        <f t="shared" si="2"/>
        <v>4</v>
      </c>
      <c r="I23" s="4">
        <f t="shared" si="3"/>
        <v>51</v>
      </c>
      <c r="J23" s="4"/>
      <c r="K23" s="4">
        <v>8</v>
      </c>
      <c r="L23" s="4">
        <f t="shared" si="4"/>
        <v>122</v>
      </c>
      <c r="N23" s="4"/>
      <c r="O23" s="4"/>
      <c r="P23" s="4"/>
      <c r="Q23" s="4"/>
      <c r="R23" s="4"/>
      <c r="T23" s="4"/>
      <c r="U23" s="4"/>
      <c r="V23" s="4"/>
      <c r="W23" s="4">
        <f t="shared" si="5"/>
        <v>2311</v>
      </c>
      <c r="X23" s="4">
        <f t="shared" si="6"/>
        <v>3180.3999999999992</v>
      </c>
      <c r="Y23" s="4">
        <f t="shared" si="0"/>
        <v>1.3762007788835999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M23" s="4" t="s">
        <v>59</v>
      </c>
      <c r="AN23" s="4" t="s">
        <v>70</v>
      </c>
      <c r="AO23" s="20">
        <v>145</v>
      </c>
      <c r="AP23" s="4">
        <v>3</v>
      </c>
      <c r="AQ23" s="20">
        <f t="shared" si="1"/>
        <v>435</v>
      </c>
      <c r="AR23" s="4"/>
      <c r="AS23" s="4"/>
    </row>
    <row r="24" spans="1:45" ht="41.25" customHeight="1" x14ac:dyDescent="0.2">
      <c r="A24" s="4">
        <v>21</v>
      </c>
      <c r="B24" s="10">
        <v>45874</v>
      </c>
      <c r="C24" s="4">
        <v>5</v>
      </c>
      <c r="D24" s="4"/>
      <c r="E24" s="4">
        <f t="shared" si="7"/>
        <v>65</v>
      </c>
      <c r="F24" s="4">
        <v>12</v>
      </c>
      <c r="G24" s="4"/>
      <c r="H24" s="4">
        <f t="shared" si="2"/>
        <v>2</v>
      </c>
      <c r="I24" s="4">
        <f t="shared" si="3"/>
        <v>53</v>
      </c>
      <c r="J24" s="4"/>
      <c r="K24" s="4">
        <v>12</v>
      </c>
      <c r="L24" s="4">
        <f t="shared" si="4"/>
        <v>134</v>
      </c>
      <c r="N24" s="4"/>
      <c r="O24" s="4"/>
      <c r="P24" s="4"/>
      <c r="Q24" s="4"/>
      <c r="R24" s="4"/>
      <c r="T24" s="4"/>
      <c r="U24" s="4"/>
      <c r="V24" s="4"/>
      <c r="W24" s="4">
        <f t="shared" si="5"/>
        <v>2311</v>
      </c>
      <c r="X24" s="4">
        <f t="shared" si="6"/>
        <v>3180.3999999999992</v>
      </c>
      <c r="Y24" s="4">
        <f t="shared" si="0"/>
        <v>1.3762007788835999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M24" s="48">
        <v>19</v>
      </c>
      <c r="AN24" s="4" t="s">
        <v>84</v>
      </c>
      <c r="AO24" s="20">
        <v>220</v>
      </c>
      <c r="AP24" s="4">
        <v>1</v>
      </c>
      <c r="AQ24" s="20">
        <f t="shared" si="1"/>
        <v>220</v>
      </c>
      <c r="AR24" s="4"/>
      <c r="AS24" s="4"/>
    </row>
    <row r="25" spans="1:45" ht="41.25" customHeight="1" x14ac:dyDescent="0.2">
      <c r="A25" s="4">
        <v>22</v>
      </c>
      <c r="B25" s="10">
        <v>45875</v>
      </c>
      <c r="C25" s="4"/>
      <c r="D25" s="4"/>
      <c r="E25" s="4">
        <f t="shared" si="7"/>
        <v>65</v>
      </c>
      <c r="F25" s="4">
        <v>4</v>
      </c>
      <c r="G25" s="4"/>
      <c r="H25" s="4">
        <f t="shared" si="2"/>
        <v>8</v>
      </c>
      <c r="I25" s="4">
        <f t="shared" si="3"/>
        <v>61</v>
      </c>
      <c r="J25" s="4"/>
      <c r="K25" s="4">
        <v>14</v>
      </c>
      <c r="L25" s="4">
        <f t="shared" si="4"/>
        <v>148</v>
      </c>
      <c r="N25" s="4"/>
      <c r="O25" s="4"/>
      <c r="P25" s="4"/>
      <c r="Q25" s="4"/>
      <c r="R25" s="4"/>
      <c r="T25" s="4"/>
      <c r="U25" s="4"/>
      <c r="V25" s="4"/>
      <c r="W25" s="4">
        <f t="shared" si="5"/>
        <v>2311</v>
      </c>
      <c r="X25" s="4">
        <f t="shared" si="6"/>
        <v>3180.3999999999992</v>
      </c>
      <c r="Y25" s="4">
        <f t="shared" si="0"/>
        <v>1.3762007788835999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M25" s="48"/>
      <c r="AN25" s="4" t="s">
        <v>85</v>
      </c>
      <c r="AO25" s="4">
        <v>1</v>
      </c>
      <c r="AP25" s="4">
        <v>1</v>
      </c>
      <c r="AQ25" s="4">
        <f t="shared" si="1"/>
        <v>1</v>
      </c>
      <c r="AR25" s="4"/>
      <c r="AS25" s="4"/>
    </row>
    <row r="26" spans="1:45" ht="41.25" customHeight="1" x14ac:dyDescent="0.2">
      <c r="A26" s="4">
        <v>23</v>
      </c>
      <c r="B26" s="10">
        <v>45876</v>
      </c>
      <c r="C26" s="4">
        <v>15</v>
      </c>
      <c r="D26" s="4"/>
      <c r="E26" s="4">
        <f t="shared" si="7"/>
        <v>80</v>
      </c>
      <c r="F26" s="4">
        <v>15</v>
      </c>
      <c r="G26" s="4"/>
      <c r="H26" s="4">
        <f t="shared" si="2"/>
        <v>4</v>
      </c>
      <c r="I26" s="4">
        <f t="shared" si="3"/>
        <v>65</v>
      </c>
      <c r="J26" s="4"/>
      <c r="K26" s="4">
        <v>6</v>
      </c>
      <c r="L26" s="4">
        <f t="shared" si="4"/>
        <v>154</v>
      </c>
      <c r="N26" s="4"/>
      <c r="O26" s="4"/>
      <c r="P26" s="4"/>
      <c r="Q26" s="4"/>
      <c r="R26" s="4"/>
      <c r="T26" s="4"/>
      <c r="U26" s="4"/>
      <c r="V26" s="4"/>
      <c r="W26" s="4">
        <f t="shared" si="5"/>
        <v>2311</v>
      </c>
      <c r="X26" s="4">
        <f t="shared" si="6"/>
        <v>3180.3999999999992</v>
      </c>
      <c r="Y26" s="4">
        <f t="shared" si="0"/>
        <v>1.3762007788835999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M26" s="48"/>
      <c r="AN26" s="4" t="s">
        <v>69</v>
      </c>
      <c r="AO26" s="4">
        <v>2.5</v>
      </c>
      <c r="AP26" s="4">
        <v>1</v>
      </c>
      <c r="AQ26" s="4">
        <f t="shared" si="1"/>
        <v>2.5</v>
      </c>
      <c r="AR26" s="4"/>
      <c r="AS26" s="4"/>
    </row>
    <row r="27" spans="1:45" ht="41.25" customHeight="1" x14ac:dyDescent="0.2">
      <c r="A27" s="4">
        <v>24</v>
      </c>
      <c r="B27" s="10">
        <v>45877</v>
      </c>
      <c r="C27" s="4"/>
      <c r="D27" s="4"/>
      <c r="E27" s="4">
        <f t="shared" si="7"/>
        <v>80</v>
      </c>
      <c r="F27" s="4">
        <v>9</v>
      </c>
      <c r="G27" s="4"/>
      <c r="H27" s="4">
        <f t="shared" si="2"/>
        <v>6</v>
      </c>
      <c r="I27" s="4">
        <f t="shared" si="3"/>
        <v>71</v>
      </c>
      <c r="J27" s="4"/>
      <c r="K27" s="4">
        <v>9</v>
      </c>
      <c r="L27" s="4">
        <f t="shared" si="4"/>
        <v>163</v>
      </c>
      <c r="N27" s="4"/>
      <c r="O27" s="4"/>
      <c r="P27" s="4"/>
      <c r="Q27" s="4"/>
      <c r="R27" s="4"/>
      <c r="T27" s="4"/>
      <c r="U27" s="4"/>
      <c r="V27" s="4"/>
      <c r="W27" s="4">
        <f t="shared" si="5"/>
        <v>2311</v>
      </c>
      <c r="X27" s="4">
        <f t="shared" si="6"/>
        <v>3180.3999999999992</v>
      </c>
      <c r="Y27" s="4">
        <f t="shared" si="0"/>
        <v>1.3762007788835999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M27" s="48"/>
      <c r="AN27" s="4" t="s">
        <v>63</v>
      </c>
      <c r="AO27" s="11">
        <v>300</v>
      </c>
      <c r="AP27" s="4">
        <v>1</v>
      </c>
      <c r="AQ27" s="11">
        <f t="shared" si="1"/>
        <v>300</v>
      </c>
      <c r="AR27" s="4"/>
      <c r="AS27" s="4"/>
    </row>
    <row r="28" spans="1:45" ht="41.25" customHeight="1" x14ac:dyDescent="0.2">
      <c r="A28" s="4">
        <v>25</v>
      </c>
      <c r="B28" s="10">
        <v>45878</v>
      </c>
      <c r="C28" s="4">
        <v>11</v>
      </c>
      <c r="D28" s="4"/>
      <c r="E28" s="4">
        <f t="shared" si="7"/>
        <v>91</v>
      </c>
      <c r="F28" s="4">
        <v>15</v>
      </c>
      <c r="G28" s="4"/>
      <c r="H28" s="4">
        <f t="shared" si="2"/>
        <v>5</v>
      </c>
      <c r="I28" s="4">
        <f t="shared" si="3"/>
        <v>76</v>
      </c>
      <c r="J28" s="4"/>
      <c r="K28" s="4">
        <v>5</v>
      </c>
      <c r="L28" s="4">
        <f t="shared" si="4"/>
        <v>168</v>
      </c>
      <c r="N28" s="4"/>
      <c r="O28" s="4"/>
      <c r="P28" s="4"/>
      <c r="Q28" s="4"/>
      <c r="R28" s="4"/>
      <c r="T28" s="4"/>
      <c r="U28" s="4"/>
      <c r="V28" s="4"/>
      <c r="W28" s="4">
        <f t="shared" si="5"/>
        <v>2311</v>
      </c>
      <c r="X28" s="4">
        <f t="shared" si="6"/>
        <v>3180.3999999999992</v>
      </c>
      <c r="Y28" s="4">
        <f t="shared" si="0"/>
        <v>1.3762007788835999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M28" s="48" t="s">
        <v>86</v>
      </c>
      <c r="AN28" s="4" t="s">
        <v>67</v>
      </c>
      <c r="AO28" s="21">
        <v>2.5</v>
      </c>
      <c r="AP28" s="4">
        <v>3</v>
      </c>
      <c r="AQ28" s="21">
        <f t="shared" si="1"/>
        <v>7.5</v>
      </c>
      <c r="AR28" s="4"/>
      <c r="AS28" s="4"/>
    </row>
    <row r="29" spans="1:45" ht="41.25" customHeight="1" x14ac:dyDescent="0.2">
      <c r="A29" s="4">
        <v>26</v>
      </c>
      <c r="B29" s="10">
        <v>45879</v>
      </c>
      <c r="C29" s="4"/>
      <c r="D29" s="4"/>
      <c r="E29" s="4">
        <f t="shared" si="7"/>
        <v>91</v>
      </c>
      <c r="F29" s="4">
        <v>12</v>
      </c>
      <c r="G29" s="4"/>
      <c r="H29" s="4">
        <f t="shared" si="2"/>
        <v>3</v>
      </c>
      <c r="I29" s="4">
        <f t="shared" si="3"/>
        <v>79</v>
      </c>
      <c r="J29" s="4"/>
      <c r="K29" s="4">
        <v>4</v>
      </c>
      <c r="L29" s="4">
        <f t="shared" si="4"/>
        <v>172</v>
      </c>
      <c r="N29" s="4"/>
      <c r="O29" s="4"/>
      <c r="P29" s="4"/>
      <c r="Q29" s="4"/>
      <c r="R29" s="4"/>
      <c r="T29" s="4"/>
      <c r="U29" s="4"/>
      <c r="V29" s="4"/>
      <c r="W29" s="4">
        <f t="shared" si="5"/>
        <v>2311</v>
      </c>
      <c r="X29" s="4">
        <f t="shared" si="6"/>
        <v>3180.3999999999992</v>
      </c>
      <c r="Y29" s="4">
        <f t="shared" si="0"/>
        <v>1.3762007788835999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M29" s="48"/>
      <c r="AN29" s="11" t="s">
        <v>48</v>
      </c>
      <c r="AO29" s="11">
        <v>120</v>
      </c>
      <c r="AP29" s="4">
        <v>3</v>
      </c>
      <c r="AQ29" s="11">
        <f t="shared" si="1"/>
        <v>360</v>
      </c>
      <c r="AR29" s="4"/>
      <c r="AS29" s="4"/>
    </row>
    <row r="30" spans="1:45" ht="41.25" customHeight="1" x14ac:dyDescent="0.2">
      <c r="A30" s="4">
        <v>27</v>
      </c>
      <c r="B30" s="10">
        <v>45880</v>
      </c>
      <c r="C30" s="4"/>
      <c r="D30" s="4"/>
      <c r="E30" s="4">
        <f>E29+C30+D30</f>
        <v>91</v>
      </c>
      <c r="F30" s="4">
        <v>7</v>
      </c>
      <c r="G30" s="4"/>
      <c r="H30" s="4">
        <f t="shared" si="2"/>
        <v>5</v>
      </c>
      <c r="I30" s="4">
        <f t="shared" si="3"/>
        <v>84</v>
      </c>
      <c r="J30" s="4"/>
      <c r="K30" s="4">
        <v>8</v>
      </c>
      <c r="L30" s="4">
        <f t="shared" si="4"/>
        <v>180</v>
      </c>
      <c r="N30" s="4"/>
      <c r="O30" s="4"/>
      <c r="P30" s="4"/>
      <c r="Q30" s="4"/>
      <c r="R30" s="4"/>
      <c r="T30" s="4"/>
      <c r="U30" s="4"/>
      <c r="V30" s="4"/>
      <c r="W30" s="4">
        <f t="shared" si="5"/>
        <v>2311</v>
      </c>
      <c r="X30" s="4">
        <f t="shared" si="6"/>
        <v>3180.3999999999992</v>
      </c>
      <c r="Y30" s="4">
        <f t="shared" si="0"/>
        <v>1.3762007788835999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M30" s="48" t="s">
        <v>99</v>
      </c>
      <c r="AN30" s="4" t="s">
        <v>97</v>
      </c>
      <c r="AO30" s="20">
        <v>150</v>
      </c>
      <c r="AP30" s="4">
        <v>3</v>
      </c>
      <c r="AQ30" s="20">
        <f t="shared" si="1"/>
        <v>450</v>
      </c>
      <c r="AR30" s="4"/>
      <c r="AS30" s="4"/>
    </row>
    <row r="31" spans="1:45" ht="41.25" customHeight="1" x14ac:dyDescent="0.2">
      <c r="A31" s="4">
        <v>28</v>
      </c>
      <c r="B31" s="10">
        <v>45881</v>
      </c>
      <c r="C31" s="4">
        <v>10</v>
      </c>
      <c r="D31" s="4">
        <v>5</v>
      </c>
      <c r="E31" s="4">
        <f>E30+C31+D31</f>
        <v>106</v>
      </c>
      <c r="F31" s="4">
        <v>10</v>
      </c>
      <c r="G31" s="4">
        <v>5</v>
      </c>
      <c r="H31" s="4">
        <f t="shared" si="2"/>
        <v>7</v>
      </c>
      <c r="I31" s="4">
        <f t="shared" si="3"/>
        <v>91</v>
      </c>
      <c r="J31" s="4"/>
      <c r="K31" s="4">
        <v>3</v>
      </c>
      <c r="L31" s="4">
        <f t="shared" si="4"/>
        <v>183</v>
      </c>
      <c r="N31" s="4"/>
      <c r="O31" s="4"/>
      <c r="P31" s="4"/>
      <c r="Q31" s="4"/>
      <c r="R31" s="4"/>
      <c r="T31" s="4"/>
      <c r="U31" s="4"/>
      <c r="V31" s="4"/>
      <c r="W31" s="4">
        <f t="shared" si="5"/>
        <v>2311</v>
      </c>
      <c r="X31" s="4">
        <f t="shared" si="6"/>
        <v>3180.3999999999992</v>
      </c>
      <c r="Y31" s="4">
        <f t="shared" si="0"/>
        <v>1.3762007788835999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M31" s="48"/>
      <c r="AN31" s="4" t="s">
        <v>98</v>
      </c>
      <c r="AO31" s="11">
        <v>75</v>
      </c>
      <c r="AP31" s="4">
        <v>3</v>
      </c>
      <c r="AQ31" s="11">
        <f t="shared" si="1"/>
        <v>225</v>
      </c>
      <c r="AR31" s="4"/>
      <c r="AS31" s="4"/>
    </row>
    <row r="32" spans="1:45" ht="41.25" customHeight="1" x14ac:dyDescent="0.2">
      <c r="A32" s="4">
        <v>29</v>
      </c>
      <c r="B32" s="10">
        <v>45882</v>
      </c>
      <c r="C32" s="4"/>
      <c r="D32" s="4"/>
      <c r="E32" s="4">
        <f t="shared" si="7"/>
        <v>106</v>
      </c>
      <c r="F32" s="4">
        <v>6</v>
      </c>
      <c r="G32" s="4">
        <v>3</v>
      </c>
      <c r="H32" s="4">
        <f t="shared" si="2"/>
        <v>6</v>
      </c>
      <c r="I32" s="4">
        <f t="shared" si="3"/>
        <v>97</v>
      </c>
      <c r="J32" s="4"/>
      <c r="K32" s="4">
        <v>3</v>
      </c>
      <c r="L32" s="4">
        <f t="shared" si="4"/>
        <v>186</v>
      </c>
      <c r="N32" s="4"/>
      <c r="O32" s="4"/>
      <c r="P32" s="4"/>
      <c r="Q32" s="4"/>
      <c r="R32" s="4"/>
      <c r="T32" s="4"/>
      <c r="U32" s="4"/>
      <c r="V32" s="4"/>
      <c r="W32" s="4">
        <f t="shared" si="5"/>
        <v>2311</v>
      </c>
      <c r="X32" s="4">
        <f t="shared" si="6"/>
        <v>3180.3999999999992</v>
      </c>
      <c r="Y32" s="4">
        <f t="shared" si="0"/>
        <v>1.3762007788835999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M32" s="48"/>
      <c r="AN32" s="4" t="s">
        <v>47</v>
      </c>
      <c r="AO32" s="20">
        <v>20</v>
      </c>
      <c r="AP32" s="4">
        <v>3</v>
      </c>
      <c r="AQ32" s="20">
        <f t="shared" si="1"/>
        <v>60</v>
      </c>
      <c r="AR32" s="4"/>
      <c r="AS32" s="4"/>
    </row>
    <row r="33" spans="1:45" ht="41.25" customHeight="1" x14ac:dyDescent="0.2">
      <c r="A33" s="4">
        <v>30</v>
      </c>
      <c r="B33" s="10">
        <v>45883</v>
      </c>
      <c r="C33" s="4">
        <v>10</v>
      </c>
      <c r="D33" s="4">
        <v>4</v>
      </c>
      <c r="E33" s="4">
        <f t="shared" si="7"/>
        <v>120</v>
      </c>
      <c r="F33" s="4">
        <v>13</v>
      </c>
      <c r="G33" s="4">
        <v>4</v>
      </c>
      <c r="H33" s="4">
        <f t="shared" si="2"/>
        <v>6</v>
      </c>
      <c r="I33" s="4">
        <f t="shared" si="3"/>
        <v>103</v>
      </c>
      <c r="J33" s="4"/>
      <c r="K33" s="4">
        <v>7</v>
      </c>
      <c r="L33" s="4">
        <f t="shared" si="4"/>
        <v>193</v>
      </c>
      <c r="N33" s="4"/>
      <c r="O33" s="4"/>
      <c r="P33" s="4"/>
      <c r="Q33" s="4"/>
      <c r="R33" s="4"/>
      <c r="T33" s="4"/>
      <c r="U33" s="4"/>
      <c r="V33" s="4"/>
      <c r="W33" s="4">
        <f t="shared" si="5"/>
        <v>2311</v>
      </c>
      <c r="X33" s="4">
        <f t="shared" si="6"/>
        <v>3180.3999999999992</v>
      </c>
      <c r="Y33" s="4">
        <f t="shared" si="0"/>
        <v>1.3762007788835999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M33" s="48" t="s">
        <v>71</v>
      </c>
      <c r="AN33" s="4" t="s">
        <v>67</v>
      </c>
      <c r="AO33" s="21">
        <v>2.5</v>
      </c>
      <c r="AP33" s="4">
        <v>1</v>
      </c>
      <c r="AQ33" s="21">
        <f t="shared" ref="AQ33:AQ39" si="8">AO33*AP33</f>
        <v>2.5</v>
      </c>
      <c r="AR33" s="4"/>
      <c r="AS33" s="4"/>
    </row>
    <row r="34" spans="1:45" ht="41.25" customHeight="1" x14ac:dyDescent="0.2">
      <c r="A34" s="4">
        <v>31</v>
      </c>
      <c r="B34" s="10">
        <v>45884</v>
      </c>
      <c r="C34" s="4"/>
      <c r="D34" s="4"/>
      <c r="E34" s="4">
        <f t="shared" si="7"/>
        <v>120</v>
      </c>
      <c r="F34" s="4">
        <v>7</v>
      </c>
      <c r="G34" s="4">
        <v>3</v>
      </c>
      <c r="H34" s="4">
        <f t="shared" si="2"/>
        <v>7</v>
      </c>
      <c r="I34" s="4">
        <f t="shared" si="3"/>
        <v>110</v>
      </c>
      <c r="J34" s="4"/>
      <c r="K34" s="4"/>
      <c r="L34" s="4">
        <f t="shared" si="4"/>
        <v>193</v>
      </c>
      <c r="N34" s="4"/>
      <c r="O34" s="4"/>
      <c r="P34" s="4"/>
      <c r="Q34" s="4"/>
      <c r="R34" s="4"/>
      <c r="T34" s="4"/>
      <c r="U34" s="4"/>
      <c r="V34" s="4"/>
      <c r="W34" s="4">
        <f t="shared" si="5"/>
        <v>2311</v>
      </c>
      <c r="X34" s="4">
        <f t="shared" si="6"/>
        <v>3180.3999999999992</v>
      </c>
      <c r="Y34" s="4">
        <f t="shared" si="0"/>
        <v>1.3762007788835999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M34" s="48"/>
      <c r="AN34" s="4" t="s">
        <v>48</v>
      </c>
      <c r="AO34" s="11">
        <v>120</v>
      </c>
      <c r="AP34" s="4">
        <v>1</v>
      </c>
      <c r="AQ34" s="11">
        <f t="shared" si="8"/>
        <v>120</v>
      </c>
      <c r="AR34" s="4"/>
      <c r="AS34" s="4"/>
    </row>
    <row r="35" spans="1:45" ht="41.25" customHeight="1" x14ac:dyDescent="0.2">
      <c r="A35" s="4">
        <v>32</v>
      </c>
      <c r="B35" s="10">
        <v>45885</v>
      </c>
      <c r="C35" s="4">
        <v>10</v>
      </c>
      <c r="D35" s="4"/>
      <c r="E35" s="4">
        <f t="shared" si="7"/>
        <v>130</v>
      </c>
      <c r="F35" s="4">
        <v>12</v>
      </c>
      <c r="G35" s="4">
        <v>1</v>
      </c>
      <c r="H35" s="4">
        <f t="shared" si="2"/>
        <v>7</v>
      </c>
      <c r="I35" s="4">
        <f t="shared" si="3"/>
        <v>117</v>
      </c>
      <c r="J35" s="4"/>
      <c r="K35" s="4">
        <v>6</v>
      </c>
      <c r="L35" s="4">
        <f t="shared" si="4"/>
        <v>199</v>
      </c>
      <c r="N35" s="4"/>
      <c r="O35" s="4"/>
      <c r="P35" s="4"/>
      <c r="Q35" s="4"/>
      <c r="R35" s="4"/>
      <c r="T35" s="4"/>
      <c r="U35" s="4"/>
      <c r="V35" s="4"/>
      <c r="W35" s="4">
        <f t="shared" si="5"/>
        <v>2311</v>
      </c>
      <c r="X35" s="4">
        <f t="shared" si="6"/>
        <v>3180.3999999999992</v>
      </c>
      <c r="Y35" s="4">
        <f t="shared" si="0"/>
        <v>1.3762007788835999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M35" s="48"/>
      <c r="AN35" s="4" t="s">
        <v>96</v>
      </c>
      <c r="AO35" s="20">
        <v>240</v>
      </c>
      <c r="AP35" s="4">
        <v>3</v>
      </c>
      <c r="AQ35" s="20">
        <f t="shared" si="8"/>
        <v>720</v>
      </c>
      <c r="AR35" s="4"/>
      <c r="AS35" s="4"/>
    </row>
    <row r="36" spans="1:45" ht="41.25" customHeight="1" x14ac:dyDescent="0.2">
      <c r="A36" s="4">
        <v>33</v>
      </c>
      <c r="B36" s="10">
        <v>45886</v>
      </c>
      <c r="C36" s="4">
        <v>10</v>
      </c>
      <c r="D36" s="4"/>
      <c r="E36" s="4">
        <f t="shared" si="7"/>
        <v>140</v>
      </c>
      <c r="F36" s="4">
        <v>17</v>
      </c>
      <c r="G36" s="4"/>
      <c r="H36" s="4">
        <f t="shared" si="2"/>
        <v>6</v>
      </c>
      <c r="I36" s="4">
        <f t="shared" si="3"/>
        <v>123</v>
      </c>
      <c r="J36" s="4"/>
      <c r="K36" s="4">
        <v>1</v>
      </c>
      <c r="L36" s="4">
        <f t="shared" si="4"/>
        <v>200</v>
      </c>
      <c r="N36" s="4"/>
      <c r="O36" s="4"/>
      <c r="P36" s="4"/>
      <c r="Q36" s="4"/>
      <c r="R36" s="4"/>
      <c r="T36" s="4"/>
      <c r="U36" s="4"/>
      <c r="V36" s="4"/>
      <c r="W36" s="4">
        <f t="shared" si="5"/>
        <v>2311</v>
      </c>
      <c r="X36" s="4">
        <f t="shared" si="6"/>
        <v>3180.3999999999992</v>
      </c>
      <c r="Y36" s="4">
        <f t="shared" si="0"/>
        <v>1.3762007788835999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M36" s="4">
        <v>29</v>
      </c>
      <c r="AN36" s="4" t="s">
        <v>69</v>
      </c>
      <c r="AO36" s="4">
        <v>2.5</v>
      </c>
      <c r="AP36" s="4">
        <v>1</v>
      </c>
      <c r="AQ36" s="4">
        <f t="shared" si="8"/>
        <v>2.5</v>
      </c>
      <c r="AR36" s="4"/>
      <c r="AS36" s="4"/>
    </row>
    <row r="37" spans="1:45" ht="41.25" customHeight="1" x14ac:dyDescent="0.2">
      <c r="A37" s="4">
        <v>34</v>
      </c>
      <c r="B37" s="10">
        <v>45887</v>
      </c>
      <c r="C37" s="4">
        <v>10</v>
      </c>
      <c r="D37" s="4"/>
      <c r="E37" s="4">
        <f t="shared" si="7"/>
        <v>150</v>
      </c>
      <c r="F37" s="4">
        <v>20</v>
      </c>
      <c r="G37" s="4"/>
      <c r="H37" s="4">
        <f t="shared" si="2"/>
        <v>7</v>
      </c>
      <c r="I37" s="4">
        <f t="shared" si="3"/>
        <v>130</v>
      </c>
      <c r="J37" s="4"/>
      <c r="K37" s="4">
        <v>4</v>
      </c>
      <c r="L37" s="4">
        <f t="shared" si="4"/>
        <v>204</v>
      </c>
      <c r="N37" s="4"/>
      <c r="O37" s="4"/>
      <c r="P37" s="4"/>
      <c r="Q37" s="4"/>
      <c r="R37" s="4"/>
      <c r="T37" s="4"/>
      <c r="U37" s="4"/>
      <c r="V37" s="4"/>
      <c r="W37" s="4">
        <f t="shared" si="5"/>
        <v>2311</v>
      </c>
      <c r="X37" s="4">
        <f t="shared" si="6"/>
        <v>3180.3999999999992</v>
      </c>
      <c r="Y37" s="4">
        <f t="shared" si="0"/>
        <v>1.3762007788835999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M37" s="4"/>
      <c r="AN37" s="4" t="s">
        <v>63</v>
      </c>
      <c r="AO37" s="11">
        <v>300</v>
      </c>
      <c r="AP37" s="4">
        <v>1</v>
      </c>
      <c r="AQ37" s="11">
        <f t="shared" si="8"/>
        <v>300</v>
      </c>
      <c r="AR37" s="4"/>
      <c r="AS37" s="4"/>
    </row>
    <row r="38" spans="1:45" ht="41.25" customHeight="1" x14ac:dyDescent="0.2">
      <c r="A38" s="4">
        <v>35</v>
      </c>
      <c r="B38" s="10">
        <v>45888</v>
      </c>
      <c r="C38" s="22">
        <v>14</v>
      </c>
      <c r="D38" s="4"/>
      <c r="E38" s="4">
        <f t="shared" si="7"/>
        <v>164</v>
      </c>
      <c r="F38" s="4">
        <v>26</v>
      </c>
      <c r="G38" s="4"/>
      <c r="H38" s="4">
        <f t="shared" si="2"/>
        <v>8</v>
      </c>
      <c r="I38" s="4">
        <f t="shared" si="3"/>
        <v>138</v>
      </c>
      <c r="J38" s="4"/>
      <c r="K38" s="4">
        <v>3</v>
      </c>
      <c r="L38" s="4">
        <f t="shared" si="4"/>
        <v>207</v>
      </c>
      <c r="N38" s="4"/>
      <c r="O38" s="4"/>
      <c r="P38" s="4"/>
      <c r="Q38" s="4"/>
      <c r="R38" s="4"/>
      <c r="T38" s="4"/>
      <c r="U38" s="4"/>
      <c r="V38" s="4"/>
      <c r="W38" s="4">
        <f t="shared" si="5"/>
        <v>2311</v>
      </c>
      <c r="X38" s="4">
        <f t="shared" si="6"/>
        <v>3180.3999999999992</v>
      </c>
      <c r="Y38" s="4">
        <f t="shared" si="0"/>
        <v>1.3762007788835999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M38" s="4" t="s">
        <v>100</v>
      </c>
      <c r="AN38" s="4" t="s">
        <v>70</v>
      </c>
      <c r="AO38" s="20">
        <v>300</v>
      </c>
      <c r="AP38" s="4">
        <v>3</v>
      </c>
      <c r="AQ38" s="20">
        <f t="shared" si="8"/>
        <v>900</v>
      </c>
      <c r="AR38" s="4"/>
      <c r="AS38" s="4"/>
    </row>
    <row r="39" spans="1:45" ht="41.25" customHeight="1" x14ac:dyDescent="0.2">
      <c r="A39" s="4">
        <v>36</v>
      </c>
      <c r="B39" s="10">
        <v>45889</v>
      </c>
      <c r="C39" s="4"/>
      <c r="D39" s="4"/>
      <c r="E39" s="4">
        <f t="shared" si="7"/>
        <v>164</v>
      </c>
      <c r="F39" s="4">
        <v>18</v>
      </c>
      <c r="G39" s="4"/>
      <c r="H39" s="4">
        <f t="shared" si="2"/>
        <v>8</v>
      </c>
      <c r="I39" s="4">
        <f t="shared" si="3"/>
        <v>146</v>
      </c>
      <c r="J39" s="4"/>
      <c r="K39" s="4">
        <v>8</v>
      </c>
      <c r="L39" s="4">
        <f t="shared" si="4"/>
        <v>215</v>
      </c>
      <c r="N39" s="4"/>
      <c r="O39" s="4"/>
      <c r="P39" s="4"/>
      <c r="Q39" s="4"/>
      <c r="R39" s="4"/>
      <c r="T39" s="4"/>
      <c r="U39" s="4"/>
      <c r="V39" s="4"/>
      <c r="W39" s="4">
        <f t="shared" si="5"/>
        <v>2311</v>
      </c>
      <c r="X39" s="4">
        <f t="shared" si="6"/>
        <v>3180.3999999999992</v>
      </c>
      <c r="Y39" s="4">
        <f t="shared" si="0"/>
        <v>1.3762007788835999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M39" s="4" t="s">
        <v>90</v>
      </c>
      <c r="AN39" s="4" t="s">
        <v>72</v>
      </c>
      <c r="AO39" s="20">
        <v>300</v>
      </c>
      <c r="AP39" s="4">
        <v>3</v>
      </c>
      <c r="AQ39" s="20">
        <f t="shared" si="8"/>
        <v>900</v>
      </c>
      <c r="AR39" s="4"/>
      <c r="AS39" s="4"/>
    </row>
    <row r="40" spans="1:45" ht="41.25" customHeight="1" x14ac:dyDescent="0.2">
      <c r="A40" s="4">
        <v>37</v>
      </c>
      <c r="B40" s="10">
        <v>45890</v>
      </c>
      <c r="C40" s="4"/>
      <c r="D40" s="4"/>
      <c r="E40" s="4">
        <f t="shared" si="7"/>
        <v>164</v>
      </c>
      <c r="F40" s="4">
        <v>14</v>
      </c>
      <c r="G40" s="4"/>
      <c r="H40" s="4">
        <f t="shared" si="2"/>
        <v>4</v>
      </c>
      <c r="I40" s="4">
        <f t="shared" si="3"/>
        <v>150</v>
      </c>
      <c r="J40" s="4"/>
      <c r="K40" s="4">
        <v>6</v>
      </c>
      <c r="L40" s="4">
        <f t="shared" si="4"/>
        <v>221</v>
      </c>
      <c r="N40" s="4"/>
      <c r="O40" s="4"/>
      <c r="P40" s="4"/>
      <c r="Q40" s="4"/>
      <c r="R40" s="4"/>
      <c r="T40" s="4"/>
      <c r="U40" s="4"/>
      <c r="V40" s="4"/>
      <c r="W40" s="4">
        <f t="shared" si="5"/>
        <v>2311</v>
      </c>
      <c r="X40" s="4">
        <f t="shared" si="6"/>
        <v>3180.3999999999992</v>
      </c>
      <c r="Y40" s="4">
        <f t="shared" si="0"/>
        <v>1.3762007788835999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M40" s="4"/>
      <c r="AN40" s="4"/>
      <c r="AO40" s="11"/>
      <c r="AP40" s="4"/>
      <c r="AQ40" s="11"/>
      <c r="AR40" s="4"/>
      <c r="AS40" s="4"/>
    </row>
    <row r="41" spans="1:45" ht="41.25" customHeight="1" x14ac:dyDescent="0.2">
      <c r="A41" s="4">
        <v>38</v>
      </c>
      <c r="B41" s="10">
        <v>45891</v>
      </c>
      <c r="C41" s="4"/>
      <c r="D41" s="4"/>
      <c r="E41" s="4">
        <f t="shared" si="7"/>
        <v>164</v>
      </c>
      <c r="F41" s="4">
        <v>9</v>
      </c>
      <c r="G41" s="4"/>
      <c r="H41" s="4">
        <f t="shared" si="2"/>
        <v>5</v>
      </c>
      <c r="I41" s="4">
        <f t="shared" si="3"/>
        <v>155</v>
      </c>
      <c r="J41" s="4"/>
      <c r="K41" s="4">
        <v>3</v>
      </c>
      <c r="L41" s="4">
        <f t="shared" si="4"/>
        <v>224</v>
      </c>
      <c r="N41" s="4"/>
      <c r="O41" s="4"/>
      <c r="P41" s="4"/>
      <c r="Q41" s="4"/>
      <c r="R41" s="4"/>
      <c r="T41" s="4"/>
      <c r="U41" s="4"/>
      <c r="V41" s="4"/>
      <c r="W41" s="4">
        <f t="shared" si="5"/>
        <v>2311</v>
      </c>
      <c r="X41" s="4">
        <f t="shared" si="6"/>
        <v>3180.3999999999992</v>
      </c>
      <c r="Y41" s="4">
        <f t="shared" si="0"/>
        <v>1.3762007788835999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M41" s="4"/>
      <c r="AN41" s="4"/>
      <c r="AO41" s="11"/>
      <c r="AP41" s="4"/>
      <c r="AQ41" s="11"/>
      <c r="AR41" s="4"/>
      <c r="AS41" s="4"/>
    </row>
    <row r="42" spans="1:45" ht="41.25" customHeight="1" x14ac:dyDescent="0.2">
      <c r="A42" s="4">
        <v>39</v>
      </c>
      <c r="B42" s="10">
        <v>45892</v>
      </c>
      <c r="C42" s="4"/>
      <c r="D42" s="4"/>
      <c r="E42" s="4">
        <f t="shared" si="7"/>
        <v>164</v>
      </c>
      <c r="F42" s="4">
        <v>7</v>
      </c>
      <c r="G42" s="4"/>
      <c r="H42" s="4">
        <f t="shared" si="2"/>
        <v>2</v>
      </c>
      <c r="I42" s="4">
        <f t="shared" si="3"/>
        <v>157</v>
      </c>
      <c r="J42" s="4"/>
      <c r="K42" s="4">
        <v>4</v>
      </c>
      <c r="L42" s="4">
        <f t="shared" si="4"/>
        <v>228</v>
      </c>
      <c r="N42" s="4"/>
      <c r="O42" s="4"/>
      <c r="P42" s="4"/>
      <c r="Q42" s="4"/>
      <c r="R42" s="4"/>
      <c r="T42" s="4"/>
      <c r="U42" s="4"/>
      <c r="V42" s="4"/>
      <c r="W42" s="4">
        <f t="shared" si="5"/>
        <v>2311</v>
      </c>
      <c r="X42" s="4">
        <f t="shared" si="6"/>
        <v>3180.3999999999992</v>
      </c>
      <c r="Y42" s="4">
        <f t="shared" si="0"/>
        <v>1.3762007788835999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M42" s="4"/>
      <c r="AN42" s="4"/>
      <c r="AO42" s="21"/>
      <c r="AP42" s="4"/>
      <c r="AQ42" s="21"/>
      <c r="AR42" s="4"/>
      <c r="AS42" s="4"/>
    </row>
    <row r="43" spans="1:45" ht="41.25" customHeight="1" x14ac:dyDescent="0.2">
      <c r="A43" s="4">
        <v>40</v>
      </c>
      <c r="B43" s="10">
        <v>45893</v>
      </c>
      <c r="C43" s="4"/>
      <c r="D43" s="4"/>
      <c r="E43" s="4">
        <f t="shared" si="7"/>
        <v>164</v>
      </c>
      <c r="F43" s="4">
        <v>6</v>
      </c>
      <c r="G43" s="4"/>
      <c r="H43" s="4">
        <f t="shared" si="2"/>
        <v>1</v>
      </c>
      <c r="I43" s="4">
        <f t="shared" si="3"/>
        <v>158</v>
      </c>
      <c r="J43" s="4"/>
      <c r="K43" s="4">
        <v>1</v>
      </c>
      <c r="L43" s="4">
        <f t="shared" si="4"/>
        <v>229</v>
      </c>
      <c r="N43" s="4"/>
      <c r="O43" s="4"/>
      <c r="P43" s="4"/>
      <c r="Q43" s="4"/>
      <c r="R43" s="4"/>
      <c r="T43" s="4"/>
      <c r="U43" s="4"/>
      <c r="V43" s="4"/>
      <c r="W43" s="4">
        <f t="shared" si="5"/>
        <v>2311</v>
      </c>
      <c r="X43" s="4">
        <f t="shared" si="6"/>
        <v>3180.3999999999992</v>
      </c>
      <c r="Y43" s="4">
        <f t="shared" si="0"/>
        <v>1.3762007788835999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M43" s="4"/>
      <c r="AN43" s="4"/>
      <c r="AO43" s="11"/>
      <c r="AP43" s="4"/>
      <c r="AQ43" s="11"/>
      <c r="AR43" s="4"/>
      <c r="AS43" s="4"/>
    </row>
    <row r="44" spans="1:45" ht="41.25" customHeight="1" x14ac:dyDescent="0.2">
      <c r="A44" s="4">
        <v>41</v>
      </c>
      <c r="B44" s="10">
        <v>45894</v>
      </c>
      <c r="C44" s="4"/>
      <c r="D44" s="4"/>
      <c r="E44" s="4">
        <f t="shared" si="7"/>
        <v>164</v>
      </c>
      <c r="F44" s="4">
        <v>6</v>
      </c>
      <c r="G44" s="4"/>
      <c r="H44" s="4">
        <f t="shared" si="2"/>
        <v>0</v>
      </c>
      <c r="I44" s="4">
        <f t="shared" si="3"/>
        <v>158</v>
      </c>
      <c r="J44" s="4"/>
      <c r="K44" s="4">
        <v>1</v>
      </c>
      <c r="L44" s="4">
        <f t="shared" si="4"/>
        <v>230</v>
      </c>
      <c r="N44" s="4"/>
      <c r="O44" s="4"/>
      <c r="P44" s="4"/>
      <c r="Q44" s="4"/>
      <c r="R44" s="4"/>
      <c r="T44" s="4"/>
      <c r="U44" s="4"/>
      <c r="V44" s="4"/>
      <c r="W44" s="4">
        <f t="shared" si="5"/>
        <v>2311</v>
      </c>
      <c r="X44" s="4">
        <f t="shared" si="6"/>
        <v>3180.3999999999992</v>
      </c>
      <c r="Y44" s="4">
        <f t="shared" si="0"/>
        <v>1.3762007788835999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M44" s="4"/>
      <c r="AN44" s="4"/>
      <c r="AO44" s="4"/>
      <c r="AP44" s="4"/>
      <c r="AQ44" s="4"/>
      <c r="AR44" s="4"/>
      <c r="AS44" s="4"/>
    </row>
    <row r="45" spans="1:45" ht="41.25" customHeight="1" x14ac:dyDescent="0.2">
      <c r="A45" s="4">
        <v>42</v>
      </c>
      <c r="B45" s="10">
        <v>45895</v>
      </c>
      <c r="C45" s="4"/>
      <c r="D45" s="4"/>
      <c r="E45" s="4">
        <f t="shared" si="7"/>
        <v>164</v>
      </c>
      <c r="F45" s="1">
        <v>6</v>
      </c>
      <c r="G45" s="4"/>
      <c r="H45" s="4">
        <f>I45-I44</f>
        <v>0</v>
      </c>
      <c r="I45" s="4">
        <f t="shared" si="3"/>
        <v>158</v>
      </c>
      <c r="J45" s="4"/>
      <c r="K45" s="4">
        <v>2</v>
      </c>
      <c r="L45" s="4">
        <f>L44+K45</f>
        <v>232</v>
      </c>
      <c r="N45" s="4"/>
      <c r="O45" s="4"/>
      <c r="P45" s="4"/>
      <c r="Q45" s="4"/>
      <c r="R45" s="4"/>
      <c r="T45" s="4"/>
      <c r="U45" s="4"/>
      <c r="V45" s="4"/>
      <c r="W45" s="4">
        <f t="shared" si="5"/>
        <v>2311</v>
      </c>
      <c r="X45" s="4">
        <f t="shared" si="6"/>
        <v>3180.3999999999992</v>
      </c>
      <c r="Y45" s="4">
        <f t="shared" si="0"/>
        <v>1.3762007788835999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M45" s="4"/>
      <c r="AN45" s="4"/>
      <c r="AO45" s="4"/>
      <c r="AP45" s="4"/>
      <c r="AQ45" s="20">
        <f t="shared" si="1"/>
        <v>0</v>
      </c>
      <c r="AR45" s="4"/>
      <c r="AS45" s="4"/>
    </row>
    <row r="46" spans="1:45" ht="41.25" customHeight="1" x14ac:dyDescent="0.2">
      <c r="A46" s="4">
        <v>43</v>
      </c>
      <c r="B46" s="10">
        <v>45896</v>
      </c>
      <c r="C46" s="4"/>
      <c r="D46" s="4"/>
      <c r="E46" s="4">
        <f t="shared" si="7"/>
        <v>164</v>
      </c>
      <c r="F46" s="1">
        <v>6</v>
      </c>
      <c r="G46" s="4"/>
      <c r="H46" s="4">
        <f>I46-I45</f>
        <v>0</v>
      </c>
      <c r="I46" s="4">
        <f t="shared" si="3"/>
        <v>158</v>
      </c>
      <c r="J46" s="4"/>
      <c r="K46" s="4"/>
      <c r="L46" s="4">
        <f>L45+K46</f>
        <v>232</v>
      </c>
      <c r="N46" s="4"/>
      <c r="O46" s="4"/>
      <c r="P46" s="4"/>
      <c r="Q46" s="4"/>
      <c r="R46" s="4"/>
      <c r="T46" s="4"/>
      <c r="U46" s="4"/>
      <c r="V46" s="4"/>
      <c r="W46" s="4">
        <f t="shared" si="5"/>
        <v>2311</v>
      </c>
      <c r="X46" s="4">
        <f t="shared" si="6"/>
        <v>3180.3999999999992</v>
      </c>
      <c r="Y46" s="4">
        <f t="shared" si="0"/>
        <v>1.3762007788835999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M46" s="4"/>
      <c r="AN46" s="4"/>
      <c r="AO46" s="4"/>
      <c r="AP46" s="4"/>
      <c r="AQ46" s="20">
        <f t="shared" si="1"/>
        <v>0</v>
      </c>
      <c r="AR46" s="4"/>
      <c r="AS46" s="4"/>
    </row>
    <row r="47" spans="1:45" ht="41.25" customHeight="1" x14ac:dyDescent="0.2">
      <c r="A47" s="4">
        <v>44</v>
      </c>
      <c r="B47" s="10">
        <v>45897</v>
      </c>
      <c r="C47" s="4"/>
      <c r="D47" s="4"/>
      <c r="E47" s="4">
        <f t="shared" si="7"/>
        <v>164</v>
      </c>
      <c r="F47" s="4"/>
      <c r="G47" s="4"/>
      <c r="H47" s="4">
        <f t="shared" si="2"/>
        <v>6</v>
      </c>
      <c r="I47" s="4">
        <f t="shared" si="3"/>
        <v>164</v>
      </c>
      <c r="J47" s="4"/>
      <c r="K47" s="4"/>
      <c r="L47" s="4">
        <f t="shared" si="4"/>
        <v>232</v>
      </c>
      <c r="N47" s="4"/>
      <c r="O47" s="4"/>
      <c r="P47" s="4"/>
      <c r="Q47" s="4"/>
      <c r="R47" s="4"/>
      <c r="T47" s="4"/>
      <c r="U47" s="4"/>
      <c r="V47" s="4"/>
      <c r="W47" s="4">
        <f t="shared" si="5"/>
        <v>2311</v>
      </c>
      <c r="X47" s="4">
        <f t="shared" si="6"/>
        <v>3180.3999999999992</v>
      </c>
      <c r="Y47" s="4">
        <f t="shared" si="0"/>
        <v>1.3762007788835999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M47" s="4"/>
      <c r="AN47" s="4"/>
      <c r="AO47" s="4"/>
      <c r="AP47" s="4"/>
      <c r="AQ47" s="20">
        <f t="shared" si="1"/>
        <v>0</v>
      </c>
      <c r="AR47" s="4"/>
      <c r="AS47" s="4"/>
    </row>
    <row r="48" spans="1:45" ht="41.25" customHeight="1" x14ac:dyDescent="0.2">
      <c r="A48" s="4">
        <v>45</v>
      </c>
      <c r="B48" s="10">
        <v>45898</v>
      </c>
      <c r="C48" s="4"/>
      <c r="D48" s="4"/>
      <c r="E48" s="4">
        <f t="shared" si="7"/>
        <v>164</v>
      </c>
      <c r="F48" s="4"/>
      <c r="G48" s="4"/>
      <c r="H48" s="4">
        <f t="shared" si="2"/>
        <v>0</v>
      </c>
      <c r="I48" s="4">
        <f t="shared" si="3"/>
        <v>164</v>
      </c>
      <c r="J48" s="4"/>
      <c r="K48" s="4"/>
      <c r="L48" s="4">
        <f t="shared" si="4"/>
        <v>232</v>
      </c>
      <c r="N48" s="4"/>
      <c r="O48" s="4"/>
      <c r="P48" s="4"/>
      <c r="Q48" s="4"/>
      <c r="R48" s="4"/>
      <c r="T48" s="4"/>
      <c r="U48" s="4"/>
      <c r="V48" s="4"/>
      <c r="W48" s="4">
        <f t="shared" si="5"/>
        <v>2311</v>
      </c>
      <c r="X48" s="4">
        <f t="shared" si="6"/>
        <v>3180.3999999999992</v>
      </c>
      <c r="Y48" s="4">
        <f t="shared" si="0"/>
        <v>1.3762007788835999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M48" s="4"/>
      <c r="AN48" s="4"/>
      <c r="AO48" s="4"/>
      <c r="AP48" s="4"/>
      <c r="AQ48" s="20">
        <f t="shared" si="1"/>
        <v>0</v>
      </c>
      <c r="AR48" s="4"/>
      <c r="AS48" s="4"/>
    </row>
    <row r="49" spans="1:45" ht="41.25" customHeight="1" x14ac:dyDescent="0.2">
      <c r="A49" s="4">
        <v>46</v>
      </c>
      <c r="B49" s="10">
        <v>45899</v>
      </c>
      <c r="C49" s="4"/>
      <c r="D49" s="4"/>
      <c r="E49" s="4">
        <f t="shared" si="7"/>
        <v>164</v>
      </c>
      <c r="F49" s="4"/>
      <c r="G49" s="4"/>
      <c r="H49" s="4">
        <f t="shared" si="2"/>
        <v>0</v>
      </c>
      <c r="I49" s="4">
        <f t="shared" si="3"/>
        <v>164</v>
      </c>
      <c r="J49" s="4"/>
      <c r="K49" s="4"/>
      <c r="L49" s="4">
        <f t="shared" si="4"/>
        <v>232</v>
      </c>
      <c r="N49" s="4"/>
      <c r="O49" s="4"/>
      <c r="P49" s="4"/>
      <c r="Q49" s="4"/>
      <c r="R49" s="4"/>
      <c r="T49" s="4"/>
      <c r="U49" s="4"/>
      <c r="V49" s="4"/>
      <c r="W49" s="4">
        <f t="shared" si="5"/>
        <v>2311</v>
      </c>
      <c r="X49" s="4">
        <f t="shared" si="6"/>
        <v>3180.3999999999992</v>
      </c>
      <c r="Y49" s="4">
        <f t="shared" si="0"/>
        <v>1.3762007788835999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M49" s="4"/>
      <c r="AN49" s="4"/>
      <c r="AO49" s="4"/>
      <c r="AP49" s="4"/>
      <c r="AQ49" s="20">
        <f t="shared" si="1"/>
        <v>0</v>
      </c>
      <c r="AR49" s="4"/>
      <c r="AS49" s="4"/>
    </row>
    <row r="50" spans="1:45" ht="41.25" customHeight="1" x14ac:dyDescent="0.2">
      <c r="A50" s="4">
        <v>47</v>
      </c>
      <c r="B50" s="10">
        <v>45900</v>
      </c>
      <c r="C50" s="4"/>
      <c r="D50" s="4"/>
      <c r="E50" s="4">
        <f t="shared" si="7"/>
        <v>164</v>
      </c>
      <c r="F50" s="4"/>
      <c r="G50" s="4"/>
      <c r="H50" s="4">
        <f t="shared" si="2"/>
        <v>0</v>
      </c>
      <c r="I50" s="4">
        <f t="shared" si="3"/>
        <v>164</v>
      </c>
      <c r="J50" s="4"/>
      <c r="K50" s="4"/>
      <c r="L50" s="4">
        <f t="shared" si="4"/>
        <v>232</v>
      </c>
      <c r="N50" s="4"/>
      <c r="O50" s="4"/>
      <c r="P50" s="4"/>
      <c r="Q50" s="4"/>
      <c r="R50" s="4"/>
      <c r="T50" s="4"/>
      <c r="U50" s="4"/>
      <c r="V50" s="4"/>
      <c r="W50" s="4">
        <f t="shared" si="5"/>
        <v>2311</v>
      </c>
      <c r="X50" s="4">
        <f t="shared" si="6"/>
        <v>3180.3999999999992</v>
      </c>
      <c r="Y50" s="4">
        <f t="shared" si="0"/>
        <v>1.3762007788835999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M50" s="4"/>
      <c r="AN50" s="4"/>
      <c r="AO50" s="4"/>
      <c r="AP50" s="4"/>
      <c r="AQ50" s="20">
        <f t="shared" si="1"/>
        <v>0</v>
      </c>
      <c r="AR50" s="4"/>
      <c r="AS50" s="4"/>
    </row>
    <row r="51" spans="1:45" ht="41.25" customHeight="1" x14ac:dyDescent="0.2">
      <c r="A51" s="4">
        <v>48</v>
      </c>
      <c r="B51" s="10">
        <v>45901</v>
      </c>
      <c r="C51" s="4"/>
      <c r="D51" s="4"/>
      <c r="E51" s="4">
        <f t="shared" si="7"/>
        <v>164</v>
      </c>
      <c r="F51" s="4"/>
      <c r="G51" s="4"/>
      <c r="H51" s="4">
        <f t="shared" si="2"/>
        <v>0</v>
      </c>
      <c r="I51" s="4">
        <f t="shared" si="3"/>
        <v>164</v>
      </c>
      <c r="J51" s="4"/>
      <c r="K51" s="4"/>
      <c r="L51" s="4">
        <f t="shared" si="4"/>
        <v>232</v>
      </c>
      <c r="N51" s="4"/>
      <c r="O51" s="4"/>
      <c r="P51" s="4"/>
      <c r="Q51" s="4"/>
      <c r="R51" s="4"/>
      <c r="T51" s="4"/>
      <c r="U51" s="4"/>
      <c r="V51" s="4"/>
      <c r="W51" s="4">
        <f t="shared" si="5"/>
        <v>2311</v>
      </c>
      <c r="X51" s="4">
        <f t="shared" si="6"/>
        <v>3180.3999999999992</v>
      </c>
      <c r="Y51" s="4">
        <f t="shared" si="0"/>
        <v>1.3762007788835999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M51" s="4"/>
      <c r="AN51" s="4"/>
      <c r="AO51" s="4"/>
      <c r="AP51" s="4"/>
      <c r="AQ51" s="20">
        <f t="shared" si="1"/>
        <v>0</v>
      </c>
      <c r="AR51" s="4"/>
      <c r="AS51" s="4"/>
    </row>
    <row r="52" spans="1:45" ht="41.25" customHeight="1" x14ac:dyDescent="0.2">
      <c r="A52" s="4">
        <v>49</v>
      </c>
      <c r="B52" s="10">
        <v>45902</v>
      </c>
      <c r="C52" s="4"/>
      <c r="D52" s="4"/>
      <c r="E52" s="4">
        <f t="shared" si="7"/>
        <v>164</v>
      </c>
      <c r="F52" s="4"/>
      <c r="G52" s="4"/>
      <c r="H52" s="4">
        <f t="shared" si="2"/>
        <v>0</v>
      </c>
      <c r="I52" s="4">
        <f t="shared" si="3"/>
        <v>164</v>
      </c>
      <c r="J52" s="4"/>
      <c r="K52" s="4"/>
      <c r="L52" s="4">
        <f t="shared" si="4"/>
        <v>232</v>
      </c>
      <c r="N52" s="4"/>
      <c r="O52" s="4"/>
      <c r="P52" s="4"/>
      <c r="Q52" s="4"/>
      <c r="T52" s="4"/>
      <c r="U52" s="4"/>
      <c r="V52" s="4"/>
      <c r="W52" s="4">
        <f t="shared" si="5"/>
        <v>2311</v>
      </c>
      <c r="X52" s="4">
        <f t="shared" si="6"/>
        <v>3180.3999999999992</v>
      </c>
      <c r="Y52" s="4">
        <f t="shared" si="0"/>
        <v>1.3762007788835999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M52" s="4"/>
      <c r="AN52" s="4"/>
      <c r="AO52" s="4"/>
      <c r="AP52" s="4"/>
      <c r="AQ52" s="20">
        <f t="shared" si="1"/>
        <v>0</v>
      </c>
      <c r="AR52" s="4"/>
      <c r="AS52" s="4"/>
    </row>
    <row r="53" spans="1:45" ht="41.25" customHeight="1" x14ac:dyDescent="0.2">
      <c r="A53" s="4">
        <v>50</v>
      </c>
      <c r="B53" s="10">
        <v>45903</v>
      </c>
      <c r="C53" s="4"/>
      <c r="D53" s="4"/>
      <c r="E53" s="4">
        <f t="shared" si="7"/>
        <v>164</v>
      </c>
      <c r="F53" s="4"/>
      <c r="G53" s="4"/>
      <c r="H53" s="4">
        <f t="shared" si="2"/>
        <v>0</v>
      </c>
      <c r="I53" s="4">
        <f t="shared" si="3"/>
        <v>164</v>
      </c>
      <c r="J53" s="4"/>
      <c r="K53" s="4"/>
      <c r="L53" s="4">
        <f t="shared" si="4"/>
        <v>232</v>
      </c>
      <c r="N53" s="4"/>
      <c r="O53" s="4"/>
      <c r="P53" s="4"/>
      <c r="Q53" s="4"/>
      <c r="R53" s="4"/>
      <c r="T53" s="4"/>
      <c r="U53" s="4"/>
      <c r="V53" s="4"/>
      <c r="W53" s="4">
        <f t="shared" si="5"/>
        <v>2311</v>
      </c>
      <c r="X53" s="4">
        <f t="shared" si="6"/>
        <v>3180.3999999999992</v>
      </c>
      <c r="Y53" s="4">
        <f t="shared" si="0"/>
        <v>1.3762007788835999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M53" s="4"/>
      <c r="AN53" s="4"/>
      <c r="AO53" s="4"/>
      <c r="AP53" s="4"/>
      <c r="AQ53" s="20">
        <f t="shared" si="1"/>
        <v>0</v>
      </c>
      <c r="AR53" s="4"/>
      <c r="AS53" s="4"/>
    </row>
    <row r="54" spans="1:45" ht="41.25" customHeight="1" x14ac:dyDescent="0.2">
      <c r="H54" s="4"/>
      <c r="AE54" s="4"/>
      <c r="AF54" s="4"/>
      <c r="AG54" s="4"/>
      <c r="AH54" s="4"/>
      <c r="AI54" s="4"/>
      <c r="AJ54" s="4"/>
      <c r="AK54" s="4"/>
      <c r="AM54" s="4"/>
      <c r="AN54" s="4"/>
      <c r="AO54" s="4"/>
      <c r="AP54" s="4"/>
      <c r="AQ54" s="20">
        <f t="shared" si="1"/>
        <v>0</v>
      </c>
      <c r="AR54" s="4"/>
      <c r="AS54" s="4"/>
    </row>
    <row r="55" spans="1:45" ht="41.25" customHeight="1" x14ac:dyDescent="0.2">
      <c r="AE55" s="4"/>
      <c r="AF55" s="4"/>
      <c r="AG55" s="4"/>
      <c r="AH55" s="4"/>
      <c r="AI55" s="4"/>
      <c r="AJ55" s="4"/>
      <c r="AK55" s="4"/>
      <c r="AL55" s="1"/>
      <c r="AM55" s="4"/>
      <c r="AN55" s="4"/>
      <c r="AO55" s="4"/>
      <c r="AP55" s="4"/>
      <c r="AQ55" s="20">
        <f t="shared" si="1"/>
        <v>0</v>
      </c>
      <c r="AR55" s="4"/>
      <c r="AS55" s="4"/>
    </row>
    <row r="56" spans="1:45" ht="41.25" customHeight="1" x14ac:dyDescent="0.2">
      <c r="AM56" s="4"/>
      <c r="AN56" s="4"/>
      <c r="AO56" s="4"/>
      <c r="AP56" s="4"/>
      <c r="AQ56" s="20">
        <f t="shared" si="1"/>
        <v>0</v>
      </c>
      <c r="AR56" s="4"/>
      <c r="AS56" s="4"/>
    </row>
    <row r="57" spans="1:45" ht="41.25" customHeight="1" x14ac:dyDescent="0.2">
      <c r="AM57" s="4"/>
      <c r="AN57" s="4"/>
      <c r="AO57" s="4"/>
      <c r="AP57" s="4"/>
      <c r="AQ57" s="20">
        <f t="shared" si="1"/>
        <v>0</v>
      </c>
      <c r="AR57" s="4"/>
      <c r="AS57" s="4"/>
    </row>
    <row r="58" spans="1:45" ht="41.25" customHeight="1" x14ac:dyDescent="0.2">
      <c r="AM58" s="4"/>
      <c r="AN58" s="4"/>
      <c r="AO58" s="4"/>
      <c r="AP58" s="4"/>
      <c r="AQ58" s="20">
        <f t="shared" si="1"/>
        <v>0</v>
      </c>
      <c r="AR58" s="4"/>
      <c r="AS58" s="4"/>
    </row>
    <row r="59" spans="1:45" ht="41.25" customHeight="1" x14ac:dyDescent="0.2">
      <c r="AM59" s="4"/>
      <c r="AN59" s="4"/>
      <c r="AO59" s="4"/>
      <c r="AP59" s="4"/>
      <c r="AQ59" s="20">
        <f t="shared" si="1"/>
        <v>0</v>
      </c>
      <c r="AR59" s="4"/>
      <c r="AS59" s="4"/>
    </row>
    <row r="60" spans="1:45" ht="41.25" customHeight="1" x14ac:dyDescent="0.2">
      <c r="AM60" s="4"/>
      <c r="AN60" s="4"/>
      <c r="AO60" s="4"/>
      <c r="AP60" s="4"/>
      <c r="AQ60" s="20">
        <f t="shared" si="1"/>
        <v>0</v>
      </c>
      <c r="AR60" s="4"/>
      <c r="AS60" s="4"/>
    </row>
    <row r="61" spans="1:45" ht="41.25" customHeight="1" x14ac:dyDescent="0.2">
      <c r="AM61" s="4"/>
      <c r="AN61" s="4"/>
      <c r="AO61" s="4"/>
      <c r="AP61" s="4"/>
      <c r="AQ61" s="20">
        <f t="shared" si="1"/>
        <v>0</v>
      </c>
      <c r="AR61" s="4"/>
      <c r="AS61" s="4"/>
    </row>
    <row r="62" spans="1:45" ht="41.25" customHeight="1" x14ac:dyDescent="0.2">
      <c r="AM62" s="4"/>
      <c r="AN62" s="4"/>
      <c r="AO62" s="4"/>
      <c r="AP62" s="4"/>
      <c r="AQ62" s="20">
        <f t="shared" si="1"/>
        <v>0</v>
      </c>
      <c r="AR62" s="4"/>
      <c r="AS62" s="4"/>
    </row>
    <row r="63" spans="1:45" ht="41.25" customHeight="1" x14ac:dyDescent="0.2">
      <c r="AM63" s="4"/>
      <c r="AN63" s="4"/>
      <c r="AO63" s="4"/>
      <c r="AP63" s="4"/>
      <c r="AQ63" s="20">
        <f t="shared" si="1"/>
        <v>0</v>
      </c>
      <c r="AR63" s="4"/>
      <c r="AS63" s="4"/>
    </row>
    <row r="64" spans="1:45" ht="41.25" customHeight="1" x14ac:dyDescent="0.2">
      <c r="AM64" s="4"/>
      <c r="AN64" s="4"/>
      <c r="AO64" s="4"/>
      <c r="AP64" s="4"/>
      <c r="AQ64" s="20">
        <f t="shared" si="1"/>
        <v>0</v>
      </c>
      <c r="AR64" s="4"/>
      <c r="AS64" s="4"/>
    </row>
  </sheetData>
  <mergeCells count="26">
    <mergeCell ref="AH4:AH5"/>
    <mergeCell ref="AI4:AI5"/>
    <mergeCell ref="AJ4:AJ5"/>
    <mergeCell ref="AK4:AK5"/>
    <mergeCell ref="C1:K1"/>
    <mergeCell ref="T1:AK1"/>
    <mergeCell ref="N1:R1"/>
    <mergeCell ref="A2:B2"/>
    <mergeCell ref="C2:K2"/>
    <mergeCell ref="AC2:AF2"/>
    <mergeCell ref="AH2:AJ2"/>
    <mergeCell ref="AM2:AS2"/>
    <mergeCell ref="N2:R2"/>
    <mergeCell ref="T2:U2"/>
    <mergeCell ref="V2:W2"/>
    <mergeCell ref="X2:Z2"/>
    <mergeCell ref="AM4:AM7"/>
    <mergeCell ref="AM8:AM10"/>
    <mergeCell ref="AM11:AM12"/>
    <mergeCell ref="AM13:AM16"/>
    <mergeCell ref="AM17:AM20"/>
    <mergeCell ref="AM21:AM22"/>
    <mergeCell ref="AM24:AM27"/>
    <mergeCell ref="AM28:AM29"/>
    <mergeCell ref="AM30:AM32"/>
    <mergeCell ref="AM33:AM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8474-0726-436A-BEB8-4208E95E58BA}">
  <sheetPr>
    <tabColor rgb="FFFF0000"/>
  </sheetPr>
  <dimension ref="A1:AS64"/>
  <sheetViews>
    <sheetView topLeftCell="P2" zoomScale="89" workbookViewId="0">
      <selection activeCell="AG4" sqref="AG4"/>
    </sheetView>
  </sheetViews>
  <sheetFormatPr defaultColWidth="12.125" defaultRowHeight="18" x14ac:dyDescent="0.2"/>
  <cols>
    <col min="1" max="1" width="12.125" style="1"/>
    <col min="2" max="2" width="16.75" style="1" customWidth="1"/>
    <col min="3" max="6" width="12.125" style="1"/>
    <col min="7" max="7" width="11.25" style="1" bestFit="1" customWidth="1"/>
    <col min="8" max="9" width="21.875" style="1" bestFit="1" customWidth="1"/>
    <col min="10" max="10" width="12.5" style="1" customWidth="1"/>
    <col min="11" max="11" width="13.25" style="1" customWidth="1"/>
    <col min="12" max="12" width="16.125" style="1" bestFit="1" customWidth="1"/>
    <col min="13" max="13" width="7.625" style="3" customWidth="1"/>
    <col min="14" max="14" width="20.875" style="1" customWidth="1"/>
    <col min="15" max="15" width="19.5" style="1" customWidth="1"/>
    <col min="16" max="16" width="18.25" style="1" customWidth="1"/>
    <col min="17" max="17" width="17.625" style="1" customWidth="1"/>
    <col min="18" max="18" width="21.375" style="1" customWidth="1"/>
    <col min="19" max="19" width="8.5" style="2" customWidth="1"/>
    <col min="20" max="20" width="15.625" style="1" customWidth="1"/>
    <col min="21" max="21" width="14.75" style="1" customWidth="1"/>
    <col min="22" max="22" width="15.375" style="1" customWidth="1"/>
    <col min="23" max="23" width="23" style="1" customWidth="1"/>
    <col min="24" max="25" width="22.625" style="1" customWidth="1"/>
    <col min="26" max="26" width="13" style="1" bestFit="1" customWidth="1"/>
    <col min="27" max="27" width="16.375" style="1" bestFit="1" customWidth="1"/>
    <col min="28" max="28" width="23.125" style="1" bestFit="1" customWidth="1"/>
    <col min="29" max="29" width="23.125" style="1" customWidth="1"/>
    <col min="30" max="30" width="12" style="1" customWidth="1"/>
    <col min="31" max="32" width="12.125" style="1"/>
    <col min="33" max="33" width="30.75" style="1" bestFit="1" customWidth="1"/>
    <col min="34" max="34" width="30.75" style="1" customWidth="1"/>
    <col min="35" max="35" width="29" style="1" bestFit="1" customWidth="1"/>
    <col min="36" max="36" width="13.75" style="1" customWidth="1"/>
    <col min="37" max="37" width="13.875" style="1" customWidth="1"/>
    <col min="38" max="38" width="10.375" style="7" customWidth="1"/>
    <col min="39" max="40" width="18.625" style="1" customWidth="1"/>
    <col min="41" max="41" width="19.125" style="1" customWidth="1"/>
    <col min="42" max="42" width="15.75" style="1" customWidth="1"/>
    <col min="43" max="43" width="16.5" style="1" customWidth="1"/>
    <col min="44" max="44" width="17.75" style="1" customWidth="1"/>
    <col min="45" max="45" width="17.375" style="1" customWidth="1"/>
    <col min="46" max="16384" width="12.125" style="1"/>
  </cols>
  <sheetData>
    <row r="1" spans="1:45" ht="41.25" customHeight="1" x14ac:dyDescent="0.2">
      <c r="A1" s="4"/>
      <c r="B1" s="9"/>
      <c r="C1" s="46" t="s">
        <v>101</v>
      </c>
      <c r="D1" s="46"/>
      <c r="E1" s="46"/>
      <c r="F1" s="46"/>
      <c r="G1" s="46"/>
      <c r="H1" s="46"/>
      <c r="I1" s="46"/>
      <c r="J1" s="46"/>
      <c r="K1" s="47"/>
      <c r="L1" s="4"/>
      <c r="N1" s="45"/>
      <c r="O1" s="46"/>
      <c r="P1" s="46"/>
      <c r="Q1" s="46"/>
      <c r="R1" s="47"/>
      <c r="T1" s="45" t="s">
        <v>26</v>
      </c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M1" s="4"/>
      <c r="AN1" s="4"/>
      <c r="AO1" s="4"/>
      <c r="AP1" s="4"/>
      <c r="AQ1" s="4"/>
      <c r="AR1" s="4"/>
      <c r="AS1" s="4"/>
    </row>
    <row r="2" spans="1:45" ht="41.25" customHeight="1" x14ac:dyDescent="0.2">
      <c r="A2" s="51">
        <v>45878</v>
      </c>
      <c r="B2" s="46"/>
      <c r="C2" s="46" t="s">
        <v>102</v>
      </c>
      <c r="D2" s="46"/>
      <c r="E2" s="46"/>
      <c r="F2" s="46"/>
      <c r="G2" s="46"/>
      <c r="H2" s="46"/>
      <c r="I2" s="46"/>
      <c r="J2" s="46"/>
      <c r="K2" s="47"/>
      <c r="L2" s="4" t="s">
        <v>37</v>
      </c>
      <c r="N2" s="45" t="s">
        <v>27</v>
      </c>
      <c r="O2" s="46"/>
      <c r="P2" s="46"/>
      <c r="Q2" s="46"/>
      <c r="R2" s="47"/>
      <c r="T2" s="45" t="s">
        <v>103</v>
      </c>
      <c r="U2" s="46"/>
      <c r="V2" s="45" t="s">
        <v>41</v>
      </c>
      <c r="W2" s="47"/>
      <c r="X2" s="45">
        <v>3667</v>
      </c>
      <c r="Y2" s="46"/>
      <c r="Z2" s="47"/>
      <c r="AA2" s="6"/>
      <c r="AB2" s="6"/>
      <c r="AC2" s="46" t="s">
        <v>9</v>
      </c>
      <c r="AD2" s="46"/>
      <c r="AE2" s="46"/>
      <c r="AF2" s="47"/>
      <c r="AG2" s="4" t="s">
        <v>18</v>
      </c>
      <c r="AH2" s="45">
        <v>3482</v>
      </c>
      <c r="AI2" s="46"/>
      <c r="AJ2" s="47"/>
      <c r="AK2" s="4"/>
      <c r="AM2" s="48" t="s">
        <v>33</v>
      </c>
      <c r="AN2" s="48"/>
      <c r="AO2" s="48"/>
      <c r="AP2" s="48"/>
      <c r="AQ2" s="48"/>
      <c r="AR2" s="48"/>
      <c r="AS2" s="48"/>
    </row>
    <row r="3" spans="1:45" ht="41.2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11</v>
      </c>
      <c r="I3" s="4" t="s">
        <v>7</v>
      </c>
      <c r="J3" s="4" t="s">
        <v>8</v>
      </c>
      <c r="K3" s="4" t="s">
        <v>9</v>
      </c>
      <c r="L3" s="4" t="s">
        <v>10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T3" s="4" t="s">
        <v>1</v>
      </c>
      <c r="U3" s="4" t="s">
        <v>17</v>
      </c>
      <c r="V3" s="4" t="s">
        <v>8</v>
      </c>
      <c r="W3" s="4" t="s">
        <v>18</v>
      </c>
      <c r="X3" s="4" t="s">
        <v>19</v>
      </c>
      <c r="Y3" s="4" t="s">
        <v>8</v>
      </c>
      <c r="Z3" s="4" t="s">
        <v>38</v>
      </c>
      <c r="AA3" s="4" t="s">
        <v>25</v>
      </c>
      <c r="AB3" s="4" t="s">
        <v>18</v>
      </c>
      <c r="AC3" s="4" t="s">
        <v>23</v>
      </c>
      <c r="AD3" s="4" t="s">
        <v>20</v>
      </c>
      <c r="AE3" s="4" t="s">
        <v>21</v>
      </c>
      <c r="AF3" s="4" t="s">
        <v>22</v>
      </c>
      <c r="AG3" s="4" t="s">
        <v>43</v>
      </c>
      <c r="AH3" s="4" t="s">
        <v>7</v>
      </c>
      <c r="AI3" s="4" t="s">
        <v>44</v>
      </c>
      <c r="AJ3" s="4" t="s">
        <v>8</v>
      </c>
      <c r="AK3" s="4" t="s">
        <v>24</v>
      </c>
      <c r="AM3" s="4" t="s">
        <v>28</v>
      </c>
      <c r="AN3" s="4" t="s">
        <v>29</v>
      </c>
      <c r="AO3" s="4" t="s">
        <v>14</v>
      </c>
      <c r="AP3" s="4" t="s">
        <v>30</v>
      </c>
      <c r="AQ3" s="4" t="s">
        <v>31</v>
      </c>
      <c r="AR3" s="4" t="s">
        <v>32</v>
      </c>
      <c r="AS3" s="4" t="s">
        <v>16</v>
      </c>
    </row>
    <row r="4" spans="1:45" ht="41.25" customHeight="1" x14ac:dyDescent="0.2">
      <c r="A4" s="4">
        <v>1</v>
      </c>
      <c r="B4" s="10">
        <v>45879</v>
      </c>
      <c r="C4" s="4">
        <v>6</v>
      </c>
      <c r="D4" s="4"/>
      <c r="E4" s="4">
        <f>D4+C4+C5</f>
        <v>6</v>
      </c>
      <c r="F4" s="4">
        <v>5.5</v>
      </c>
      <c r="G4" s="4"/>
      <c r="H4" s="4">
        <v>0.5</v>
      </c>
      <c r="I4" s="4">
        <f t="shared" ref="I4:I45" si="0">E4-F4-G4</f>
        <v>0.5</v>
      </c>
      <c r="J4" s="4"/>
      <c r="K4" s="4">
        <v>6</v>
      </c>
      <c r="L4" s="4">
        <v>6</v>
      </c>
      <c r="N4" s="4"/>
      <c r="O4" s="4"/>
      <c r="P4" s="4"/>
      <c r="Q4" s="4"/>
      <c r="R4" s="4"/>
      <c r="T4" s="17">
        <v>45916</v>
      </c>
      <c r="U4" s="4">
        <v>800</v>
      </c>
      <c r="V4" s="4">
        <v>1221.9000000000001</v>
      </c>
      <c r="W4" s="4">
        <v>800</v>
      </c>
      <c r="X4" s="4">
        <v>1221.9000000000001</v>
      </c>
      <c r="Y4" s="4">
        <f>X4/W4</f>
        <v>1.5273750000000001</v>
      </c>
      <c r="Z4" s="4">
        <v>182</v>
      </c>
      <c r="AA4" s="4">
        <f>Z4*100/X2</f>
        <v>4.963185164985001</v>
      </c>
      <c r="AB4" s="4">
        <v>3482</v>
      </c>
      <c r="AC4" s="1">
        <f>AB4+Z4-X2</f>
        <v>-3</v>
      </c>
      <c r="AD4" s="4">
        <v>51</v>
      </c>
      <c r="AE4" s="4">
        <v>20</v>
      </c>
      <c r="AF4" s="4">
        <v>28</v>
      </c>
      <c r="AG4" s="4">
        <v>5251.8</v>
      </c>
      <c r="AH4" s="42">
        <v>276</v>
      </c>
      <c r="AI4" s="42">
        <f>AH4*30.76</f>
        <v>8489.76</v>
      </c>
      <c r="AJ4" s="42">
        <f>AG4/AH2</f>
        <v>1.5082711085582998</v>
      </c>
      <c r="AK4" s="42">
        <f>AI4/AG5</f>
        <v>1.6007843876685208</v>
      </c>
      <c r="AM4" s="48" t="s">
        <v>105</v>
      </c>
      <c r="AN4" s="4" t="s">
        <v>45</v>
      </c>
      <c r="AO4" s="20">
        <v>53</v>
      </c>
      <c r="AP4" s="4">
        <v>2</v>
      </c>
      <c r="AQ4" s="20">
        <f>AO4*AP4</f>
        <v>106</v>
      </c>
      <c r="AR4" s="4"/>
      <c r="AS4" s="4"/>
    </row>
    <row r="5" spans="1:45" ht="41.25" customHeight="1" x14ac:dyDescent="0.2">
      <c r="A5" s="4">
        <v>2</v>
      </c>
      <c r="B5" s="10">
        <v>45880</v>
      </c>
      <c r="C5" s="4"/>
      <c r="D5" s="4"/>
      <c r="E5" s="4">
        <f>E4+C5+D5</f>
        <v>6</v>
      </c>
      <c r="F5" s="4">
        <v>4.5</v>
      </c>
      <c r="G5" s="4"/>
      <c r="H5" s="4">
        <f>I5-I4</f>
        <v>1</v>
      </c>
      <c r="I5" s="4">
        <f t="shared" si="0"/>
        <v>1.5</v>
      </c>
      <c r="J5" s="4"/>
      <c r="K5" s="4">
        <v>10</v>
      </c>
      <c r="L5" s="4">
        <f>L4+K5</f>
        <v>16</v>
      </c>
      <c r="N5" s="4"/>
      <c r="O5" s="4"/>
      <c r="P5" s="4"/>
      <c r="Q5" s="4"/>
      <c r="R5" s="4"/>
      <c r="T5" s="17">
        <v>45917</v>
      </c>
      <c r="U5" s="24">
        <v>652</v>
      </c>
      <c r="V5" s="4">
        <v>975.15</v>
      </c>
      <c r="W5" s="4">
        <f>W4+U5</f>
        <v>1452</v>
      </c>
      <c r="X5" s="4">
        <f>X4+V5</f>
        <v>2197.0500000000002</v>
      </c>
      <c r="Y5" s="4">
        <f t="shared" ref="Y5:Y10" si="1">X5/W5</f>
        <v>1.513119834710744</v>
      </c>
      <c r="Z5" s="4"/>
      <c r="AA5" s="4"/>
      <c r="AB5" s="4"/>
      <c r="AC5" s="4"/>
      <c r="AD5" s="4">
        <f>AD4*0.3</f>
        <v>15.299999999999999</v>
      </c>
      <c r="AE5" s="4">
        <f>AE4*0.7</f>
        <v>14</v>
      </c>
      <c r="AF5" s="4">
        <f>AF4*0.8</f>
        <v>22.400000000000002</v>
      </c>
      <c r="AG5" s="4">
        <f>AG4+AD5+AE5+AF5</f>
        <v>5303.5</v>
      </c>
      <c r="AH5" s="44"/>
      <c r="AI5" s="44"/>
      <c r="AJ5" s="44"/>
      <c r="AK5" s="44"/>
      <c r="AM5" s="48"/>
      <c r="AN5" s="4" t="s">
        <v>77</v>
      </c>
      <c r="AO5" s="20">
        <v>39</v>
      </c>
      <c r="AP5" s="4">
        <v>2</v>
      </c>
      <c r="AQ5" s="20">
        <f t="shared" ref="AQ5:AQ13" si="2">AO5*AP5</f>
        <v>78</v>
      </c>
      <c r="AR5" s="4"/>
      <c r="AS5" s="4"/>
    </row>
    <row r="6" spans="1:45" ht="41.25" customHeight="1" x14ac:dyDescent="0.2">
      <c r="A6" s="4">
        <v>3</v>
      </c>
      <c r="B6" s="10">
        <v>45881</v>
      </c>
      <c r="C6" s="4"/>
      <c r="D6" s="4"/>
      <c r="E6" s="4">
        <f t="shared" ref="E6:E53" si="3">E5+C6+D6</f>
        <v>6</v>
      </c>
      <c r="F6" s="4">
        <v>3.5</v>
      </c>
      <c r="G6" s="4"/>
      <c r="H6" s="4">
        <f t="shared" ref="H6:H53" si="4">I6-I5</f>
        <v>1</v>
      </c>
      <c r="I6" s="4">
        <f t="shared" si="0"/>
        <v>2.5</v>
      </c>
      <c r="J6" s="4"/>
      <c r="K6" s="4">
        <v>10</v>
      </c>
      <c r="L6" s="4">
        <f t="shared" ref="L6:L53" si="5">L5+K6</f>
        <v>26</v>
      </c>
      <c r="N6" s="4"/>
      <c r="O6" s="4"/>
      <c r="P6" s="4"/>
      <c r="Q6" s="4"/>
      <c r="R6" s="4"/>
      <c r="T6" s="17">
        <v>45920</v>
      </c>
      <c r="U6" s="24">
        <v>383</v>
      </c>
      <c r="V6" s="4">
        <v>586.75</v>
      </c>
      <c r="W6" s="4">
        <f t="shared" ref="W6:W10" si="6">W5+U6</f>
        <v>1835</v>
      </c>
      <c r="X6" s="4">
        <f t="shared" ref="X6:X10" si="7">X5+V6</f>
        <v>2783.8</v>
      </c>
      <c r="Y6" s="4">
        <f t="shared" si="1"/>
        <v>1.517057220708447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M6" s="48"/>
      <c r="AN6" s="4" t="s">
        <v>61</v>
      </c>
      <c r="AO6" s="20">
        <v>12</v>
      </c>
      <c r="AP6" s="4">
        <v>2</v>
      </c>
      <c r="AQ6" s="20">
        <f t="shared" si="2"/>
        <v>24</v>
      </c>
      <c r="AR6" s="4"/>
      <c r="AS6" s="4"/>
    </row>
    <row r="7" spans="1:45" ht="41.25" customHeight="1" x14ac:dyDescent="0.2">
      <c r="A7" s="4">
        <v>4</v>
      </c>
      <c r="B7" s="10">
        <v>45882</v>
      </c>
      <c r="C7" s="4">
        <v>7</v>
      </c>
      <c r="D7" s="4"/>
      <c r="E7" s="4">
        <f t="shared" si="3"/>
        <v>13</v>
      </c>
      <c r="F7" s="4">
        <v>9</v>
      </c>
      <c r="G7" s="4"/>
      <c r="H7" s="4">
        <f t="shared" si="4"/>
        <v>1.5</v>
      </c>
      <c r="I7" s="4">
        <f t="shared" si="0"/>
        <v>4</v>
      </c>
      <c r="J7" s="4"/>
      <c r="K7" s="4">
        <v>8</v>
      </c>
      <c r="L7" s="4">
        <f t="shared" si="5"/>
        <v>34</v>
      </c>
      <c r="N7" s="4"/>
      <c r="O7" s="4"/>
      <c r="P7" s="4"/>
      <c r="Q7" s="4"/>
      <c r="R7" s="4"/>
      <c r="T7" s="17">
        <v>45921</v>
      </c>
      <c r="U7" s="24">
        <v>671</v>
      </c>
      <c r="V7" s="4">
        <v>1017.9</v>
      </c>
      <c r="W7" s="4">
        <f t="shared" si="6"/>
        <v>2506</v>
      </c>
      <c r="X7" s="4">
        <f t="shared" si="7"/>
        <v>3801.7000000000003</v>
      </c>
      <c r="Y7" s="4">
        <f t="shared" si="1"/>
        <v>1.5170391061452515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M7" s="48"/>
      <c r="AN7" s="4" t="s">
        <v>47</v>
      </c>
      <c r="AO7" s="20">
        <v>39</v>
      </c>
      <c r="AP7" s="4">
        <v>2</v>
      </c>
      <c r="AQ7" s="20">
        <f t="shared" si="2"/>
        <v>78</v>
      </c>
      <c r="AR7" s="4"/>
      <c r="AS7" s="4"/>
    </row>
    <row r="8" spans="1:45" ht="41.25" customHeight="1" x14ac:dyDescent="0.2">
      <c r="A8" s="4">
        <v>5</v>
      </c>
      <c r="B8" s="10">
        <v>45883</v>
      </c>
      <c r="C8" s="4"/>
      <c r="D8" s="4"/>
      <c r="E8" s="4">
        <f t="shared" si="3"/>
        <v>13</v>
      </c>
      <c r="F8" s="4">
        <v>7</v>
      </c>
      <c r="G8" s="4"/>
      <c r="H8" s="4">
        <f t="shared" si="4"/>
        <v>2</v>
      </c>
      <c r="I8" s="4">
        <f t="shared" si="0"/>
        <v>6</v>
      </c>
      <c r="J8" s="4"/>
      <c r="K8" s="4">
        <v>4</v>
      </c>
      <c r="L8" s="4">
        <f t="shared" si="5"/>
        <v>38</v>
      </c>
      <c r="N8" s="4"/>
      <c r="O8" s="4"/>
      <c r="P8" s="4"/>
      <c r="Q8" s="4"/>
      <c r="T8" s="17">
        <v>45922</v>
      </c>
      <c r="U8" s="24">
        <v>311</v>
      </c>
      <c r="V8" s="4">
        <v>496.8</v>
      </c>
      <c r="W8" s="4">
        <f t="shared" si="6"/>
        <v>2817</v>
      </c>
      <c r="X8" s="4">
        <f>X7+V8</f>
        <v>4298.5</v>
      </c>
      <c r="Y8" s="4">
        <f t="shared" si="1"/>
        <v>1.5259140930067447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21"/>
      <c r="AL8" s="26"/>
      <c r="AM8" s="21" t="s">
        <v>106</v>
      </c>
      <c r="AN8" s="21" t="s">
        <v>45</v>
      </c>
      <c r="AO8" s="21">
        <v>53</v>
      </c>
      <c r="AP8" s="4">
        <v>2</v>
      </c>
      <c r="AQ8" s="20">
        <f t="shared" si="2"/>
        <v>106</v>
      </c>
      <c r="AR8" s="4"/>
      <c r="AS8" s="4"/>
    </row>
    <row r="9" spans="1:45" ht="41.25" customHeight="1" x14ac:dyDescent="0.2">
      <c r="A9" s="4">
        <v>6</v>
      </c>
      <c r="B9" s="10">
        <v>45884</v>
      </c>
      <c r="C9" s="4"/>
      <c r="D9" s="4"/>
      <c r="E9" s="4">
        <f t="shared" si="3"/>
        <v>13</v>
      </c>
      <c r="F9" s="4">
        <v>5</v>
      </c>
      <c r="G9" s="4"/>
      <c r="H9" s="4">
        <f t="shared" si="4"/>
        <v>2</v>
      </c>
      <c r="I9" s="4">
        <f t="shared" si="0"/>
        <v>8</v>
      </c>
      <c r="J9" s="4"/>
      <c r="K9" s="4">
        <v>4</v>
      </c>
      <c r="L9" s="4">
        <f t="shared" si="5"/>
        <v>42</v>
      </c>
      <c r="N9" s="4"/>
      <c r="O9" s="4"/>
      <c r="P9" s="4"/>
      <c r="Q9" s="4"/>
      <c r="R9" s="4"/>
      <c r="T9" s="17">
        <v>45923</v>
      </c>
      <c r="U9" s="24">
        <v>512</v>
      </c>
      <c r="V9" s="4">
        <v>772.85</v>
      </c>
      <c r="W9" s="4">
        <f t="shared" si="6"/>
        <v>3329</v>
      </c>
      <c r="X9" s="4">
        <f t="shared" si="7"/>
        <v>5071.3500000000004</v>
      </c>
      <c r="Y9" s="4">
        <f t="shared" si="1"/>
        <v>1.5233854010213279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21"/>
      <c r="AL9" s="26"/>
      <c r="AM9" s="21"/>
      <c r="AN9" s="21" t="s">
        <v>77</v>
      </c>
      <c r="AO9" s="21">
        <v>39</v>
      </c>
      <c r="AP9" s="4">
        <v>2</v>
      </c>
      <c r="AQ9" s="20">
        <f t="shared" si="2"/>
        <v>78</v>
      </c>
      <c r="AR9" s="4"/>
      <c r="AS9" s="4"/>
    </row>
    <row r="10" spans="1:45" ht="41.25" customHeight="1" x14ac:dyDescent="0.2">
      <c r="A10" s="4">
        <v>7</v>
      </c>
      <c r="B10" s="10">
        <v>45885</v>
      </c>
      <c r="C10" s="4">
        <v>5</v>
      </c>
      <c r="D10" s="4"/>
      <c r="E10" s="4">
        <f t="shared" si="3"/>
        <v>18</v>
      </c>
      <c r="F10" s="4">
        <v>7.5</v>
      </c>
      <c r="G10" s="4"/>
      <c r="H10" s="4">
        <f>I10-I9</f>
        <v>2.5</v>
      </c>
      <c r="I10" s="4">
        <f t="shared" si="0"/>
        <v>10.5</v>
      </c>
      <c r="J10" s="4"/>
      <c r="K10" s="4">
        <v>2</v>
      </c>
      <c r="L10" s="4">
        <f t="shared" si="5"/>
        <v>44</v>
      </c>
      <c r="N10" s="4"/>
      <c r="O10" s="4"/>
      <c r="P10" s="4"/>
      <c r="Q10" s="4"/>
      <c r="R10" s="4"/>
      <c r="T10" s="17">
        <v>45924</v>
      </c>
      <c r="U10" s="24">
        <v>153</v>
      </c>
      <c r="V10" s="4">
        <v>180.45</v>
      </c>
      <c r="W10" s="4">
        <f t="shared" si="6"/>
        <v>3482</v>
      </c>
      <c r="X10" s="4">
        <f t="shared" si="7"/>
        <v>5251.8</v>
      </c>
      <c r="Y10" s="4">
        <f t="shared" si="1"/>
        <v>1.5082711085582998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21"/>
      <c r="AL10" s="26"/>
      <c r="AM10" s="21"/>
      <c r="AN10" s="21" t="s">
        <v>58</v>
      </c>
      <c r="AO10" s="21">
        <v>15</v>
      </c>
      <c r="AP10" s="4">
        <v>2</v>
      </c>
      <c r="AQ10" s="20">
        <f t="shared" si="2"/>
        <v>30</v>
      </c>
      <c r="AR10" s="4"/>
      <c r="AS10" s="4"/>
    </row>
    <row r="11" spans="1:45" ht="41.25" customHeight="1" x14ac:dyDescent="0.2">
      <c r="A11" s="4">
        <v>8</v>
      </c>
      <c r="B11" s="10">
        <v>45886</v>
      </c>
      <c r="C11" s="4"/>
      <c r="D11" s="4"/>
      <c r="E11" s="4">
        <f t="shared" si="3"/>
        <v>18</v>
      </c>
      <c r="F11" s="4">
        <v>4.5</v>
      </c>
      <c r="G11" s="4"/>
      <c r="H11" s="4">
        <f t="shared" si="4"/>
        <v>3</v>
      </c>
      <c r="I11" s="4">
        <f t="shared" si="0"/>
        <v>13.5</v>
      </c>
      <c r="J11" s="4"/>
      <c r="K11" s="4">
        <v>1</v>
      </c>
      <c r="L11" s="4">
        <f t="shared" si="5"/>
        <v>45</v>
      </c>
      <c r="N11" s="4"/>
      <c r="O11" s="4"/>
      <c r="P11" s="4"/>
      <c r="Q11" s="4"/>
      <c r="R11" s="4"/>
      <c r="U11" s="24" t="s">
        <v>104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21"/>
      <c r="AL11" s="26"/>
      <c r="AM11" s="21"/>
      <c r="AN11" s="21" t="s">
        <v>47</v>
      </c>
      <c r="AO11" s="21">
        <v>48</v>
      </c>
      <c r="AP11" s="4">
        <v>2</v>
      </c>
      <c r="AQ11" s="20">
        <f t="shared" si="2"/>
        <v>96</v>
      </c>
      <c r="AR11" s="4"/>
      <c r="AS11" s="4"/>
    </row>
    <row r="12" spans="1:45" ht="41.25" customHeight="1" x14ac:dyDescent="0.2">
      <c r="A12" s="4">
        <v>9</v>
      </c>
      <c r="B12" s="10">
        <v>45887</v>
      </c>
      <c r="C12" s="4">
        <v>10</v>
      </c>
      <c r="D12" s="4"/>
      <c r="E12" s="4">
        <f t="shared" si="3"/>
        <v>28</v>
      </c>
      <c r="F12" s="4">
        <v>11.5</v>
      </c>
      <c r="G12" s="4"/>
      <c r="H12" s="4">
        <f t="shared" si="4"/>
        <v>3</v>
      </c>
      <c r="I12" s="4">
        <f t="shared" si="0"/>
        <v>16.5</v>
      </c>
      <c r="J12" s="4"/>
      <c r="K12" s="4">
        <v>5</v>
      </c>
      <c r="L12" s="4">
        <f t="shared" si="5"/>
        <v>50</v>
      </c>
      <c r="N12" s="4"/>
      <c r="O12" s="4"/>
      <c r="P12" s="4"/>
      <c r="Q12" s="4"/>
      <c r="R12" s="4"/>
      <c r="T12" s="23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21"/>
      <c r="AL12" s="26"/>
      <c r="AM12" s="52" t="s">
        <v>52</v>
      </c>
      <c r="AN12" s="21" t="s">
        <v>50</v>
      </c>
      <c r="AO12" s="21">
        <v>34</v>
      </c>
      <c r="AP12" s="4">
        <v>3</v>
      </c>
      <c r="AQ12" s="11">
        <f t="shared" si="2"/>
        <v>102</v>
      </c>
      <c r="AR12" s="4"/>
      <c r="AS12" s="4"/>
    </row>
    <row r="13" spans="1:45" ht="41.25" customHeight="1" x14ac:dyDescent="0.2">
      <c r="A13" s="4">
        <v>10</v>
      </c>
      <c r="B13" s="10">
        <v>45888</v>
      </c>
      <c r="C13" s="4"/>
      <c r="D13" s="4"/>
      <c r="E13" s="4">
        <f t="shared" si="3"/>
        <v>28</v>
      </c>
      <c r="F13" s="4">
        <v>8</v>
      </c>
      <c r="G13" s="4"/>
      <c r="H13" s="4">
        <f t="shared" si="4"/>
        <v>3.5</v>
      </c>
      <c r="I13" s="4">
        <f t="shared" si="0"/>
        <v>20</v>
      </c>
      <c r="J13" s="4"/>
      <c r="K13" s="4">
        <v>2</v>
      </c>
      <c r="L13" s="4">
        <f t="shared" si="5"/>
        <v>52</v>
      </c>
      <c r="N13" s="4"/>
      <c r="O13" s="4"/>
      <c r="P13" s="4"/>
      <c r="Q13" s="4"/>
      <c r="R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21"/>
      <c r="AL13" s="26"/>
      <c r="AM13" s="52"/>
      <c r="AN13" s="21" t="s">
        <v>51</v>
      </c>
      <c r="AO13" s="21">
        <v>24</v>
      </c>
      <c r="AP13" s="4">
        <v>3</v>
      </c>
      <c r="AQ13" s="11">
        <f t="shared" si="2"/>
        <v>72</v>
      </c>
      <c r="AR13" s="4"/>
      <c r="AS13" s="4"/>
    </row>
    <row r="14" spans="1:45" ht="41.25" customHeight="1" x14ac:dyDescent="0.2">
      <c r="A14" s="4">
        <v>11</v>
      </c>
      <c r="B14" s="10">
        <v>45889</v>
      </c>
      <c r="C14" s="4"/>
      <c r="D14" s="4"/>
      <c r="E14" s="4">
        <f t="shared" si="3"/>
        <v>28</v>
      </c>
      <c r="F14" s="4">
        <v>4.5</v>
      </c>
      <c r="G14" s="4"/>
      <c r="H14" s="4">
        <f t="shared" si="4"/>
        <v>3.5</v>
      </c>
      <c r="I14" s="4">
        <f t="shared" si="0"/>
        <v>23.5</v>
      </c>
      <c r="J14" s="4"/>
      <c r="K14" s="4">
        <v>4</v>
      </c>
      <c r="L14" s="4">
        <f t="shared" si="5"/>
        <v>56</v>
      </c>
      <c r="N14" s="4"/>
      <c r="O14" s="4"/>
      <c r="P14" s="4"/>
      <c r="Q14" s="4"/>
      <c r="R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21"/>
      <c r="AL14" s="26"/>
      <c r="AM14" s="52"/>
      <c r="AN14" s="21" t="s">
        <v>67</v>
      </c>
      <c r="AO14" s="21">
        <v>1</v>
      </c>
      <c r="AP14" s="4">
        <v>3</v>
      </c>
      <c r="AQ14" s="21">
        <f>AO14*AP14</f>
        <v>3</v>
      </c>
      <c r="AR14" s="4"/>
      <c r="AS14" s="4"/>
    </row>
    <row r="15" spans="1:45" ht="41.25" customHeight="1" x14ac:dyDescent="0.2">
      <c r="A15" s="4">
        <v>12</v>
      </c>
      <c r="B15" s="10">
        <v>45890</v>
      </c>
      <c r="C15" s="4">
        <v>8</v>
      </c>
      <c r="D15" s="4"/>
      <c r="E15" s="4">
        <f t="shared" si="3"/>
        <v>36</v>
      </c>
      <c r="F15" s="4">
        <v>9</v>
      </c>
      <c r="G15" s="4"/>
      <c r="H15" s="4">
        <f t="shared" si="4"/>
        <v>3.5</v>
      </c>
      <c r="I15" s="4">
        <f t="shared" si="0"/>
        <v>27</v>
      </c>
      <c r="J15" s="4"/>
      <c r="K15" s="4">
        <v>5</v>
      </c>
      <c r="L15" s="4">
        <f t="shared" si="5"/>
        <v>61</v>
      </c>
      <c r="N15" s="4"/>
      <c r="O15" s="4"/>
      <c r="P15" s="4"/>
      <c r="Q15" s="4"/>
      <c r="R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21"/>
      <c r="AL15" s="26"/>
      <c r="AM15" s="52"/>
      <c r="AN15" s="21" t="s">
        <v>48</v>
      </c>
      <c r="AO15" s="11">
        <v>40</v>
      </c>
      <c r="AP15" s="4">
        <v>3</v>
      </c>
      <c r="AQ15" s="11">
        <f>AO15*AP15</f>
        <v>120</v>
      </c>
      <c r="AR15" s="4"/>
      <c r="AS15" s="4"/>
    </row>
    <row r="16" spans="1:45" ht="41.25" customHeight="1" x14ac:dyDescent="0.2">
      <c r="A16" s="4">
        <v>13</v>
      </c>
      <c r="B16" s="10">
        <v>45891</v>
      </c>
      <c r="C16" s="4"/>
      <c r="D16" s="4"/>
      <c r="E16" s="4">
        <f t="shared" si="3"/>
        <v>36</v>
      </c>
      <c r="F16" s="4">
        <v>5</v>
      </c>
      <c r="G16" s="4"/>
      <c r="H16" s="4">
        <f t="shared" si="4"/>
        <v>4</v>
      </c>
      <c r="I16" s="4">
        <f t="shared" si="0"/>
        <v>31</v>
      </c>
      <c r="J16" s="4"/>
      <c r="K16" s="4">
        <v>5</v>
      </c>
      <c r="L16" s="4">
        <f t="shared" si="5"/>
        <v>66</v>
      </c>
      <c r="N16" s="4"/>
      <c r="O16" s="4"/>
      <c r="P16" s="4"/>
      <c r="Q16" s="4"/>
      <c r="R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21"/>
      <c r="AL16" s="26"/>
      <c r="AM16" s="53">
        <v>10</v>
      </c>
      <c r="AN16" s="21" t="s">
        <v>84</v>
      </c>
      <c r="AO16" s="20">
        <v>175</v>
      </c>
      <c r="AP16" s="4">
        <v>1</v>
      </c>
      <c r="AQ16" s="20">
        <f>AO16*AP16</f>
        <v>175</v>
      </c>
      <c r="AR16" s="4"/>
      <c r="AS16" s="4"/>
    </row>
    <row r="17" spans="1:45" ht="41.25" customHeight="1" x14ac:dyDescent="0.2">
      <c r="A17" s="4">
        <v>14</v>
      </c>
      <c r="B17" s="10">
        <v>45892</v>
      </c>
      <c r="C17" s="4">
        <v>13</v>
      </c>
      <c r="D17" s="4"/>
      <c r="E17" s="4">
        <f t="shared" si="3"/>
        <v>49</v>
      </c>
      <c r="F17" s="4">
        <v>13</v>
      </c>
      <c r="G17" s="4"/>
      <c r="H17" s="4">
        <f t="shared" si="4"/>
        <v>5</v>
      </c>
      <c r="I17" s="4">
        <f t="shared" si="0"/>
        <v>36</v>
      </c>
      <c r="J17" s="4"/>
      <c r="K17" s="4">
        <v>3</v>
      </c>
      <c r="L17" s="4">
        <f t="shared" si="5"/>
        <v>69</v>
      </c>
      <c r="N17" s="4"/>
      <c r="O17" s="4"/>
      <c r="P17" s="4"/>
      <c r="Q17" s="4"/>
      <c r="R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21"/>
      <c r="AL17" s="26"/>
      <c r="AM17" s="53"/>
      <c r="AN17" s="21" t="s">
        <v>85</v>
      </c>
      <c r="AO17" s="25">
        <v>1</v>
      </c>
      <c r="AP17" s="4">
        <v>1</v>
      </c>
      <c r="AQ17" s="25">
        <f>AO17*AP17</f>
        <v>1</v>
      </c>
      <c r="AR17" s="4"/>
      <c r="AS17" s="4"/>
    </row>
    <row r="18" spans="1:45" ht="41.25" customHeight="1" x14ac:dyDescent="0.2">
      <c r="A18" s="4">
        <v>15</v>
      </c>
      <c r="B18" s="10">
        <v>45893</v>
      </c>
      <c r="C18" s="4"/>
      <c r="D18" s="4"/>
      <c r="E18" s="4">
        <f t="shared" si="3"/>
        <v>49</v>
      </c>
      <c r="F18" s="4">
        <v>7.5</v>
      </c>
      <c r="G18" s="4"/>
      <c r="H18" s="4">
        <f t="shared" si="4"/>
        <v>5.5</v>
      </c>
      <c r="I18" s="4">
        <f t="shared" si="0"/>
        <v>41.5</v>
      </c>
      <c r="J18" s="4"/>
      <c r="K18" s="4">
        <v>5</v>
      </c>
      <c r="L18" s="4">
        <f t="shared" si="5"/>
        <v>74</v>
      </c>
      <c r="N18" s="4"/>
      <c r="O18" s="4"/>
      <c r="P18" s="4"/>
      <c r="Q18" s="4"/>
      <c r="R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21"/>
      <c r="AL18" s="26"/>
      <c r="AM18" s="53"/>
      <c r="AN18" s="21" t="s">
        <v>67</v>
      </c>
      <c r="AO18" s="21">
        <v>2</v>
      </c>
      <c r="AP18" s="4">
        <v>1</v>
      </c>
      <c r="AQ18" s="21">
        <f t="shared" ref="AQ18:AQ19" si="8">AO18*AP18</f>
        <v>2</v>
      </c>
      <c r="AR18" s="4"/>
      <c r="AS18" s="4"/>
    </row>
    <row r="19" spans="1:45" ht="41.25" customHeight="1" x14ac:dyDescent="0.2">
      <c r="A19" s="4">
        <v>16</v>
      </c>
      <c r="B19" s="10">
        <v>45894</v>
      </c>
      <c r="C19" s="4">
        <v>12</v>
      </c>
      <c r="D19" s="4"/>
      <c r="E19" s="4">
        <f t="shared" si="3"/>
        <v>61</v>
      </c>
      <c r="F19" s="4">
        <v>11.5</v>
      </c>
      <c r="G19" s="4"/>
      <c r="H19" s="4">
        <f t="shared" si="4"/>
        <v>8</v>
      </c>
      <c r="I19" s="4">
        <f t="shared" si="0"/>
        <v>49.5</v>
      </c>
      <c r="J19" s="4"/>
      <c r="K19" s="4">
        <v>2</v>
      </c>
      <c r="L19" s="4">
        <f t="shared" si="5"/>
        <v>76</v>
      </c>
      <c r="N19" s="4"/>
      <c r="O19" s="4"/>
      <c r="P19" s="4"/>
      <c r="Q19" s="4"/>
      <c r="R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21"/>
      <c r="AL19" s="26"/>
      <c r="AM19" s="53"/>
      <c r="AN19" s="21" t="s">
        <v>48</v>
      </c>
      <c r="AO19" s="11">
        <v>90</v>
      </c>
      <c r="AP19" s="4">
        <v>1</v>
      </c>
      <c r="AQ19" s="11">
        <f t="shared" si="8"/>
        <v>90</v>
      </c>
      <c r="AR19" s="4"/>
      <c r="AS19" s="4"/>
    </row>
    <row r="20" spans="1:45" ht="41.25" customHeight="1" x14ac:dyDescent="0.2">
      <c r="A20" s="4">
        <v>17</v>
      </c>
      <c r="B20" s="10">
        <v>45895</v>
      </c>
      <c r="C20" s="4"/>
      <c r="D20" s="4"/>
      <c r="E20" s="4">
        <f>E19+C20+D20</f>
        <v>61</v>
      </c>
      <c r="F20" s="4">
        <v>7.5</v>
      </c>
      <c r="G20" s="4"/>
      <c r="H20" s="4">
        <f t="shared" si="4"/>
        <v>4</v>
      </c>
      <c r="I20" s="4">
        <f t="shared" si="0"/>
        <v>53.5</v>
      </c>
      <c r="J20" s="4"/>
      <c r="K20" s="4">
        <v>2</v>
      </c>
      <c r="L20" s="4">
        <f t="shared" si="5"/>
        <v>78</v>
      </c>
      <c r="N20" s="4"/>
      <c r="O20" s="4"/>
      <c r="P20" s="4"/>
      <c r="Q20" s="4"/>
      <c r="R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M20" s="4">
        <v>11</v>
      </c>
      <c r="AN20" s="4" t="s">
        <v>84</v>
      </c>
      <c r="AO20" s="20">
        <v>175</v>
      </c>
      <c r="AP20" s="4">
        <v>1</v>
      </c>
      <c r="AQ20" s="20">
        <f t="shared" ref="AQ20:AQ25" si="9">AO20*AP20</f>
        <v>175</v>
      </c>
      <c r="AR20" s="4"/>
      <c r="AS20" s="4"/>
    </row>
    <row r="21" spans="1:45" ht="41.25" customHeight="1" x14ac:dyDescent="0.2">
      <c r="A21" s="4">
        <v>18</v>
      </c>
      <c r="B21" s="10">
        <v>45896</v>
      </c>
      <c r="C21" s="1">
        <v>10</v>
      </c>
      <c r="D21" s="4"/>
      <c r="E21" s="4">
        <f>E20+D21+C21</f>
        <v>71</v>
      </c>
      <c r="F21" s="4">
        <v>11.5</v>
      </c>
      <c r="G21" s="4"/>
      <c r="H21" s="4">
        <f t="shared" si="4"/>
        <v>6</v>
      </c>
      <c r="I21" s="4">
        <f t="shared" si="0"/>
        <v>59.5</v>
      </c>
      <c r="J21" s="4"/>
      <c r="K21" s="4"/>
      <c r="L21" s="4">
        <f t="shared" si="5"/>
        <v>78</v>
      </c>
      <c r="N21" s="4"/>
      <c r="O21" s="4"/>
      <c r="P21" s="4"/>
      <c r="Q21" s="4"/>
      <c r="R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M21" s="4"/>
      <c r="AN21" s="4" t="s">
        <v>85</v>
      </c>
      <c r="AO21" s="4">
        <v>1</v>
      </c>
      <c r="AP21" s="4">
        <v>1</v>
      </c>
      <c r="AQ21" s="4">
        <f t="shared" si="9"/>
        <v>1</v>
      </c>
      <c r="AR21" s="4"/>
      <c r="AS21" s="4"/>
    </row>
    <row r="22" spans="1:45" ht="41.25" customHeight="1" x14ac:dyDescent="0.2">
      <c r="A22" s="4">
        <v>19</v>
      </c>
      <c r="B22" s="10">
        <v>45897</v>
      </c>
      <c r="C22" s="4">
        <v>7</v>
      </c>
      <c r="D22" s="4"/>
      <c r="E22" s="4">
        <f t="shared" si="3"/>
        <v>78</v>
      </c>
      <c r="F22" s="4">
        <v>12</v>
      </c>
      <c r="G22" s="4"/>
      <c r="H22" s="4">
        <f t="shared" si="4"/>
        <v>6.5</v>
      </c>
      <c r="I22" s="4">
        <f t="shared" si="0"/>
        <v>66</v>
      </c>
      <c r="J22" s="4"/>
      <c r="K22" s="4">
        <v>2</v>
      </c>
      <c r="L22" s="4">
        <f t="shared" si="5"/>
        <v>80</v>
      </c>
      <c r="N22" s="4"/>
      <c r="O22" s="4"/>
      <c r="P22" s="4"/>
      <c r="Q22" s="4"/>
      <c r="R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M22" s="4"/>
      <c r="AN22" s="4" t="s">
        <v>62</v>
      </c>
      <c r="AO22" s="4">
        <v>4</v>
      </c>
      <c r="AP22" s="4">
        <v>1</v>
      </c>
      <c r="AQ22" s="4">
        <f t="shared" si="9"/>
        <v>4</v>
      </c>
      <c r="AR22" s="4"/>
      <c r="AS22" s="4"/>
    </row>
    <row r="23" spans="1:45" ht="41.25" customHeight="1" x14ac:dyDescent="0.2">
      <c r="A23" s="4">
        <v>20</v>
      </c>
      <c r="B23" s="10">
        <v>45898</v>
      </c>
      <c r="C23" s="4">
        <v>10</v>
      </c>
      <c r="D23" s="4"/>
      <c r="E23" s="4">
        <f t="shared" si="3"/>
        <v>88</v>
      </c>
      <c r="F23" s="4">
        <v>15</v>
      </c>
      <c r="G23" s="4"/>
      <c r="H23" s="4">
        <f t="shared" si="4"/>
        <v>7</v>
      </c>
      <c r="I23" s="4">
        <f t="shared" si="0"/>
        <v>73</v>
      </c>
      <c r="J23" s="4"/>
      <c r="K23" s="4">
        <v>3</v>
      </c>
      <c r="L23" s="4">
        <f t="shared" si="5"/>
        <v>83</v>
      </c>
      <c r="N23" s="4"/>
      <c r="O23" s="4"/>
      <c r="P23" s="4"/>
      <c r="Q23" s="4"/>
      <c r="R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M23" s="4"/>
      <c r="AN23" s="4" t="s">
        <v>63</v>
      </c>
      <c r="AO23" s="11">
        <v>150</v>
      </c>
      <c r="AP23" s="4">
        <v>1</v>
      </c>
      <c r="AQ23" s="11">
        <f t="shared" si="9"/>
        <v>150</v>
      </c>
      <c r="AR23" s="4"/>
      <c r="AS23" s="4"/>
    </row>
    <row r="24" spans="1:45" ht="41.25" customHeight="1" x14ac:dyDescent="0.2">
      <c r="A24" s="4">
        <v>21</v>
      </c>
      <c r="B24" s="10">
        <v>45899</v>
      </c>
      <c r="C24" s="4">
        <v>9</v>
      </c>
      <c r="D24" s="4">
        <v>5</v>
      </c>
      <c r="E24" s="4">
        <f t="shared" si="3"/>
        <v>102</v>
      </c>
      <c r="F24" s="4">
        <v>16.5</v>
      </c>
      <c r="G24" s="4">
        <v>5</v>
      </c>
      <c r="H24" s="4">
        <f t="shared" si="4"/>
        <v>7.5</v>
      </c>
      <c r="I24" s="4">
        <f t="shared" si="0"/>
        <v>80.5</v>
      </c>
      <c r="J24" s="4"/>
      <c r="K24" s="4">
        <v>1</v>
      </c>
      <c r="L24" s="4">
        <f t="shared" si="5"/>
        <v>84</v>
      </c>
      <c r="N24" s="4"/>
      <c r="O24" s="4"/>
      <c r="P24" s="4"/>
      <c r="Q24" s="4"/>
      <c r="R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M24" s="48">
        <v>12</v>
      </c>
      <c r="AN24" s="4" t="s">
        <v>84</v>
      </c>
      <c r="AO24" s="20">
        <v>200</v>
      </c>
      <c r="AP24" s="4">
        <v>1</v>
      </c>
      <c r="AQ24" s="20">
        <f t="shared" si="9"/>
        <v>200</v>
      </c>
      <c r="AR24" s="4"/>
      <c r="AS24" s="4"/>
    </row>
    <row r="25" spans="1:45" ht="41.25" customHeight="1" x14ac:dyDescent="0.2">
      <c r="A25" s="4">
        <v>22</v>
      </c>
      <c r="B25" s="10">
        <v>45900</v>
      </c>
      <c r="C25" s="4"/>
      <c r="D25" s="4"/>
      <c r="E25" s="4">
        <f t="shared" si="3"/>
        <v>102</v>
      </c>
      <c r="F25" s="4">
        <v>10.5</v>
      </c>
      <c r="G25" s="4">
        <v>3</v>
      </c>
      <c r="H25" s="4">
        <f t="shared" si="4"/>
        <v>8</v>
      </c>
      <c r="I25" s="4">
        <f t="shared" si="0"/>
        <v>88.5</v>
      </c>
      <c r="J25" s="4"/>
      <c r="K25" s="4">
        <v>6</v>
      </c>
      <c r="L25" s="4">
        <f t="shared" si="5"/>
        <v>90</v>
      </c>
      <c r="N25" s="4"/>
      <c r="O25" s="4"/>
      <c r="P25" s="4"/>
      <c r="Q25" s="4"/>
      <c r="R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M25" s="48"/>
      <c r="AN25" s="4" t="s">
        <v>85</v>
      </c>
      <c r="AO25" s="4">
        <v>1</v>
      </c>
      <c r="AP25" s="4">
        <v>1</v>
      </c>
      <c r="AQ25" s="4">
        <f t="shared" si="9"/>
        <v>1</v>
      </c>
      <c r="AR25" s="4"/>
      <c r="AS25" s="4"/>
    </row>
    <row r="26" spans="1:45" ht="41.25" customHeight="1" x14ac:dyDescent="0.2">
      <c r="A26" s="4">
        <v>23</v>
      </c>
      <c r="B26" s="10">
        <v>45901</v>
      </c>
      <c r="C26" s="4">
        <v>15</v>
      </c>
      <c r="D26" s="4"/>
      <c r="E26" s="4">
        <f t="shared" si="3"/>
        <v>117</v>
      </c>
      <c r="F26" s="4">
        <v>20.5</v>
      </c>
      <c r="G26" s="4"/>
      <c r="H26" s="4">
        <f t="shared" si="4"/>
        <v>8</v>
      </c>
      <c r="I26" s="4">
        <f t="shared" si="0"/>
        <v>96.5</v>
      </c>
      <c r="J26" s="4"/>
      <c r="K26" s="4">
        <v>4</v>
      </c>
      <c r="L26" s="4">
        <f t="shared" si="5"/>
        <v>94</v>
      </c>
      <c r="N26" s="4"/>
      <c r="O26" s="4"/>
      <c r="P26" s="4"/>
      <c r="Q26" s="4"/>
      <c r="R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M26" s="48"/>
      <c r="AN26" s="4" t="s">
        <v>67</v>
      </c>
      <c r="AO26" s="21">
        <v>2</v>
      </c>
      <c r="AP26" s="4">
        <v>1</v>
      </c>
      <c r="AQ26" s="21">
        <f t="shared" ref="AQ26" si="10">AO26*AP26</f>
        <v>2</v>
      </c>
      <c r="AR26" s="4"/>
      <c r="AS26" s="4"/>
    </row>
    <row r="27" spans="1:45" ht="41.25" customHeight="1" x14ac:dyDescent="0.2">
      <c r="A27" s="4">
        <v>24</v>
      </c>
      <c r="B27" s="10">
        <v>45902</v>
      </c>
      <c r="C27" s="4"/>
      <c r="D27" s="4"/>
      <c r="E27" s="4">
        <f t="shared" si="3"/>
        <v>117</v>
      </c>
      <c r="F27" s="4">
        <v>12</v>
      </c>
      <c r="G27" s="4"/>
      <c r="H27" s="4">
        <f t="shared" si="4"/>
        <v>8.5</v>
      </c>
      <c r="I27" s="4">
        <f t="shared" si="0"/>
        <v>105</v>
      </c>
      <c r="J27" s="4"/>
      <c r="K27" s="4">
        <v>8</v>
      </c>
      <c r="L27" s="4">
        <f t="shared" si="5"/>
        <v>102</v>
      </c>
      <c r="N27" s="4"/>
      <c r="O27" s="4"/>
      <c r="P27" s="4"/>
      <c r="Q27" s="4"/>
      <c r="R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M27" s="48"/>
      <c r="AN27" s="11" t="s">
        <v>48</v>
      </c>
      <c r="AO27" s="11">
        <v>100</v>
      </c>
      <c r="AP27" s="4">
        <v>1</v>
      </c>
      <c r="AQ27" s="11">
        <f>AO27*AP27</f>
        <v>100</v>
      </c>
      <c r="AR27" s="4"/>
      <c r="AS27" s="4"/>
    </row>
    <row r="28" spans="1:45" ht="41.25" customHeight="1" x14ac:dyDescent="0.2">
      <c r="A28" s="4">
        <v>25</v>
      </c>
      <c r="B28" s="10">
        <v>45903</v>
      </c>
      <c r="C28" s="4">
        <v>15</v>
      </c>
      <c r="D28" s="4"/>
      <c r="E28" s="4">
        <f t="shared" si="3"/>
        <v>132</v>
      </c>
      <c r="F28" s="4">
        <v>18.5</v>
      </c>
      <c r="G28" s="4"/>
      <c r="H28" s="4">
        <f t="shared" si="4"/>
        <v>8.5</v>
      </c>
      <c r="I28" s="4">
        <f t="shared" si="0"/>
        <v>113.5</v>
      </c>
      <c r="J28" s="4"/>
      <c r="K28" s="4">
        <v>6</v>
      </c>
      <c r="L28" s="4">
        <f t="shared" si="5"/>
        <v>108</v>
      </c>
      <c r="N28" s="4"/>
      <c r="O28" s="4"/>
      <c r="P28" s="4"/>
      <c r="Q28" s="4"/>
      <c r="R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M28" s="48" t="s">
        <v>107</v>
      </c>
      <c r="AN28" s="4" t="s">
        <v>67</v>
      </c>
      <c r="AO28" s="21">
        <v>1.5</v>
      </c>
      <c r="AP28" s="4">
        <v>3</v>
      </c>
      <c r="AQ28" s="21">
        <f>AO28*AP28</f>
        <v>4.5</v>
      </c>
      <c r="AR28" s="4"/>
      <c r="AS28" s="4"/>
    </row>
    <row r="29" spans="1:45" ht="41.25" customHeight="1" x14ac:dyDescent="0.2">
      <c r="A29" s="4">
        <v>26</v>
      </c>
      <c r="B29" s="10">
        <v>45904</v>
      </c>
      <c r="C29" s="4"/>
      <c r="D29" s="4"/>
      <c r="E29" s="4">
        <f t="shared" si="3"/>
        <v>132</v>
      </c>
      <c r="F29" s="4">
        <v>10</v>
      </c>
      <c r="G29" s="4"/>
      <c r="H29" s="4">
        <f t="shared" si="4"/>
        <v>8.5</v>
      </c>
      <c r="I29" s="4">
        <f t="shared" si="0"/>
        <v>122</v>
      </c>
      <c r="J29" s="4"/>
      <c r="K29" s="4">
        <v>9</v>
      </c>
      <c r="L29" s="4">
        <f t="shared" si="5"/>
        <v>117</v>
      </c>
      <c r="N29" s="4"/>
      <c r="O29" s="4"/>
      <c r="P29" s="4"/>
      <c r="Q29" s="4"/>
      <c r="R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M29" s="48"/>
      <c r="AN29" s="4" t="s">
        <v>48</v>
      </c>
      <c r="AO29" s="11">
        <v>75</v>
      </c>
      <c r="AP29" s="4">
        <v>3</v>
      </c>
      <c r="AQ29" s="11">
        <f>AO29*AP29</f>
        <v>225</v>
      </c>
      <c r="AR29" s="4"/>
      <c r="AS29" s="4"/>
    </row>
    <row r="30" spans="1:45" ht="41.25" customHeight="1" x14ac:dyDescent="0.2">
      <c r="A30" s="4">
        <v>27</v>
      </c>
      <c r="B30" s="10">
        <v>45905</v>
      </c>
      <c r="C30" s="4">
        <v>15</v>
      </c>
      <c r="D30" s="4"/>
      <c r="E30" s="4">
        <f t="shared" si="3"/>
        <v>147</v>
      </c>
      <c r="F30" s="4">
        <v>16.5</v>
      </c>
      <c r="G30" s="4"/>
      <c r="H30" s="4">
        <f t="shared" si="4"/>
        <v>8.5</v>
      </c>
      <c r="I30" s="4">
        <f t="shared" si="0"/>
        <v>130.5</v>
      </c>
      <c r="J30" s="4"/>
      <c r="K30" s="4">
        <v>3</v>
      </c>
      <c r="L30" s="4">
        <f t="shared" si="5"/>
        <v>120</v>
      </c>
      <c r="N30" s="4"/>
      <c r="O30" s="4"/>
      <c r="P30" s="4"/>
      <c r="Q30" s="4"/>
      <c r="R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M30" s="48">
        <v>19</v>
      </c>
      <c r="AN30" s="4" t="s">
        <v>84</v>
      </c>
      <c r="AO30" s="20">
        <v>250</v>
      </c>
      <c r="AP30" s="4">
        <v>1</v>
      </c>
      <c r="AQ30" s="20">
        <f>AO30*AP30</f>
        <v>250</v>
      </c>
      <c r="AR30" s="4"/>
      <c r="AS30" s="4"/>
    </row>
    <row r="31" spans="1:45" ht="41.25" customHeight="1" x14ac:dyDescent="0.2">
      <c r="A31" s="4">
        <v>28</v>
      </c>
      <c r="B31" s="10">
        <v>45906</v>
      </c>
      <c r="C31" s="4">
        <v>15</v>
      </c>
      <c r="D31" s="4"/>
      <c r="E31" s="4">
        <f t="shared" si="3"/>
        <v>162</v>
      </c>
      <c r="F31" s="4">
        <v>22.5</v>
      </c>
      <c r="G31" s="4"/>
      <c r="H31" s="4">
        <f t="shared" si="4"/>
        <v>9</v>
      </c>
      <c r="I31" s="4">
        <f t="shared" si="0"/>
        <v>139.5</v>
      </c>
      <c r="J31" s="4"/>
      <c r="K31" s="4">
        <v>6</v>
      </c>
      <c r="L31" s="4">
        <f t="shared" si="5"/>
        <v>126</v>
      </c>
      <c r="N31" s="4"/>
      <c r="O31" s="4"/>
      <c r="P31" s="4"/>
      <c r="Q31" s="4"/>
      <c r="R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M31" s="48"/>
      <c r="AN31" s="4" t="s">
        <v>85</v>
      </c>
      <c r="AO31" s="4">
        <v>1.5</v>
      </c>
      <c r="AP31" s="4">
        <v>1</v>
      </c>
      <c r="AQ31" s="4">
        <f t="shared" ref="AQ31:AQ32" si="11">AO31*AP31</f>
        <v>1.5</v>
      </c>
      <c r="AR31" s="4"/>
      <c r="AS31" s="4"/>
    </row>
    <row r="32" spans="1:45" ht="41.25" customHeight="1" x14ac:dyDescent="0.2">
      <c r="A32" s="4">
        <v>29</v>
      </c>
      <c r="B32" s="10">
        <v>45907</v>
      </c>
      <c r="C32" s="4"/>
      <c r="D32" s="4"/>
      <c r="E32" s="4">
        <f t="shared" si="3"/>
        <v>162</v>
      </c>
      <c r="F32" s="4">
        <v>12.5</v>
      </c>
      <c r="G32" s="4">
        <v>2</v>
      </c>
      <c r="H32" s="4">
        <f t="shared" si="4"/>
        <v>8</v>
      </c>
      <c r="I32" s="4">
        <f t="shared" si="0"/>
        <v>147.5</v>
      </c>
      <c r="J32" s="4"/>
      <c r="K32" s="4">
        <v>2</v>
      </c>
      <c r="L32" s="4">
        <f t="shared" si="5"/>
        <v>128</v>
      </c>
      <c r="N32" s="4"/>
      <c r="O32" s="4"/>
      <c r="P32" s="4"/>
      <c r="Q32" s="4"/>
      <c r="R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M32" s="48"/>
      <c r="AN32" s="4" t="s">
        <v>69</v>
      </c>
      <c r="AO32" s="4">
        <v>4</v>
      </c>
      <c r="AP32" s="4">
        <v>1</v>
      </c>
      <c r="AQ32" s="4">
        <f t="shared" si="11"/>
        <v>4</v>
      </c>
      <c r="AR32" s="4"/>
      <c r="AS32" s="4"/>
    </row>
    <row r="33" spans="1:45" ht="41.25" customHeight="1" x14ac:dyDescent="0.2">
      <c r="A33" s="4">
        <v>30</v>
      </c>
      <c r="B33" s="10">
        <v>45908</v>
      </c>
      <c r="C33" s="4">
        <v>13</v>
      </c>
      <c r="D33" s="4">
        <v>6</v>
      </c>
      <c r="E33" s="4">
        <f t="shared" si="3"/>
        <v>181</v>
      </c>
      <c r="F33" s="4">
        <v>14.5</v>
      </c>
      <c r="G33" s="4">
        <v>6</v>
      </c>
      <c r="H33" s="4">
        <f t="shared" si="4"/>
        <v>13</v>
      </c>
      <c r="I33" s="4">
        <f t="shared" si="0"/>
        <v>160.5</v>
      </c>
      <c r="J33" s="4"/>
      <c r="K33" s="4">
        <v>6</v>
      </c>
      <c r="L33" s="4">
        <f t="shared" si="5"/>
        <v>134</v>
      </c>
      <c r="N33" s="4"/>
      <c r="O33" s="4"/>
      <c r="P33" s="4"/>
      <c r="Q33" s="4"/>
      <c r="R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M33" s="48"/>
      <c r="AN33" s="4" t="s">
        <v>63</v>
      </c>
      <c r="AO33" s="11">
        <v>280</v>
      </c>
      <c r="AP33" s="4">
        <v>1</v>
      </c>
      <c r="AQ33" s="11">
        <f>AO33*AP33</f>
        <v>280</v>
      </c>
      <c r="AR33" s="4"/>
      <c r="AS33" s="4"/>
    </row>
    <row r="34" spans="1:45" ht="41.25" customHeight="1" x14ac:dyDescent="0.2">
      <c r="A34" s="4">
        <v>31</v>
      </c>
      <c r="B34" s="10">
        <v>45909</v>
      </c>
      <c r="C34" s="4">
        <v>10</v>
      </c>
      <c r="D34" s="4"/>
      <c r="E34" s="4">
        <f t="shared" si="3"/>
        <v>191</v>
      </c>
      <c r="F34" s="4">
        <v>18.5</v>
      </c>
      <c r="G34" s="4">
        <v>1</v>
      </c>
      <c r="H34" s="4">
        <f t="shared" si="4"/>
        <v>11</v>
      </c>
      <c r="I34" s="4">
        <f t="shared" si="0"/>
        <v>171.5</v>
      </c>
      <c r="J34" s="4"/>
      <c r="K34" s="4">
        <v>2</v>
      </c>
      <c r="L34" s="4">
        <f t="shared" si="5"/>
        <v>136</v>
      </c>
      <c r="N34" s="4"/>
      <c r="O34" s="4"/>
      <c r="P34" s="4"/>
      <c r="Q34" s="4"/>
      <c r="R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M34" s="48" t="s">
        <v>108</v>
      </c>
      <c r="AN34" s="4" t="s">
        <v>67</v>
      </c>
      <c r="AO34" s="21">
        <v>2</v>
      </c>
      <c r="AP34" s="4">
        <v>1</v>
      </c>
      <c r="AQ34" s="21">
        <f>AO34*AP34</f>
        <v>2</v>
      </c>
      <c r="AR34" s="4"/>
      <c r="AS34" s="4"/>
    </row>
    <row r="35" spans="1:45" ht="41.25" customHeight="1" x14ac:dyDescent="0.2">
      <c r="A35" s="4">
        <v>32</v>
      </c>
      <c r="B35" s="10">
        <v>45910</v>
      </c>
      <c r="C35" s="4">
        <v>12</v>
      </c>
      <c r="D35" s="4">
        <v>4</v>
      </c>
      <c r="E35" s="4">
        <f t="shared" si="3"/>
        <v>207</v>
      </c>
      <c r="F35" s="4">
        <v>21.5</v>
      </c>
      <c r="G35" s="4">
        <v>4</v>
      </c>
      <c r="H35" s="4">
        <f t="shared" si="4"/>
        <v>10</v>
      </c>
      <c r="I35" s="4">
        <f t="shared" si="0"/>
        <v>181.5</v>
      </c>
      <c r="J35" s="4"/>
      <c r="K35" s="4">
        <v>4</v>
      </c>
      <c r="L35" s="4">
        <f t="shared" si="5"/>
        <v>140</v>
      </c>
      <c r="N35" s="4"/>
      <c r="O35" s="4"/>
      <c r="P35" s="4"/>
      <c r="Q35" s="4"/>
      <c r="R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M35" s="48"/>
      <c r="AN35" s="4" t="s">
        <v>48</v>
      </c>
      <c r="AO35" s="11">
        <v>140</v>
      </c>
      <c r="AP35" s="4">
        <v>1</v>
      </c>
      <c r="AQ35" s="11">
        <f>AO35*AP35</f>
        <v>140</v>
      </c>
      <c r="AR35" s="4"/>
      <c r="AS35" s="4"/>
    </row>
    <row r="36" spans="1:45" ht="41.25" customHeight="1" x14ac:dyDescent="0.2">
      <c r="A36" s="4">
        <v>33</v>
      </c>
      <c r="B36" s="10">
        <v>45911</v>
      </c>
      <c r="C36" s="4"/>
      <c r="D36" s="4"/>
      <c r="E36" s="4">
        <f t="shared" si="3"/>
        <v>207</v>
      </c>
      <c r="F36" s="4">
        <v>13.5</v>
      </c>
      <c r="G36" s="4">
        <v>2</v>
      </c>
      <c r="H36" s="4">
        <f t="shared" si="4"/>
        <v>10</v>
      </c>
      <c r="I36" s="4">
        <f t="shared" si="0"/>
        <v>191.5</v>
      </c>
      <c r="J36" s="4"/>
      <c r="K36" s="4">
        <v>2</v>
      </c>
      <c r="L36" s="4">
        <f t="shared" si="5"/>
        <v>142</v>
      </c>
      <c r="N36" s="4"/>
      <c r="O36" s="4"/>
      <c r="P36" s="4"/>
      <c r="Q36" s="4"/>
      <c r="R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M36" s="48" t="s">
        <v>68</v>
      </c>
      <c r="AN36" s="4" t="s">
        <v>97</v>
      </c>
      <c r="AO36" s="20">
        <v>200</v>
      </c>
      <c r="AP36" s="4">
        <v>3</v>
      </c>
      <c r="AQ36" s="20">
        <f t="shared" ref="AQ36:AQ54" si="12">AO36*AP36</f>
        <v>600</v>
      </c>
      <c r="AR36" s="4"/>
      <c r="AS36" s="4"/>
    </row>
    <row r="37" spans="1:45" ht="41.25" customHeight="1" x14ac:dyDescent="0.2">
      <c r="A37" s="4">
        <v>34</v>
      </c>
      <c r="B37" s="10">
        <v>45912</v>
      </c>
      <c r="C37" s="4">
        <v>20</v>
      </c>
      <c r="D37" s="4"/>
      <c r="E37" s="4">
        <f t="shared" si="3"/>
        <v>227</v>
      </c>
      <c r="F37" s="4">
        <v>26</v>
      </c>
      <c r="G37" s="4"/>
      <c r="H37" s="4">
        <f t="shared" si="4"/>
        <v>9.5</v>
      </c>
      <c r="I37" s="4">
        <f t="shared" si="0"/>
        <v>201</v>
      </c>
      <c r="J37" s="4"/>
      <c r="K37" s="4">
        <v>5</v>
      </c>
      <c r="L37" s="4">
        <f t="shared" si="5"/>
        <v>147</v>
      </c>
      <c r="N37" s="4"/>
      <c r="O37" s="4"/>
      <c r="P37" s="4"/>
      <c r="Q37" s="4"/>
      <c r="R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M37" s="48"/>
      <c r="AN37" s="4" t="s">
        <v>98</v>
      </c>
      <c r="AO37" s="4">
        <v>100</v>
      </c>
      <c r="AP37" s="4">
        <v>3</v>
      </c>
      <c r="AQ37" s="11">
        <f t="shared" si="12"/>
        <v>300</v>
      </c>
      <c r="AR37" s="4"/>
      <c r="AS37" s="4"/>
    </row>
    <row r="38" spans="1:45" ht="41.25" customHeight="1" x14ac:dyDescent="0.2">
      <c r="A38" s="4">
        <v>35</v>
      </c>
      <c r="B38" s="10">
        <v>45913</v>
      </c>
      <c r="C38" s="22"/>
      <c r="D38" s="4"/>
      <c r="E38" s="4">
        <f t="shared" si="3"/>
        <v>227</v>
      </c>
      <c r="F38" s="4">
        <v>17</v>
      </c>
      <c r="G38" s="4"/>
      <c r="H38" s="4">
        <f t="shared" si="4"/>
        <v>9</v>
      </c>
      <c r="I38" s="4">
        <f t="shared" si="0"/>
        <v>210</v>
      </c>
      <c r="J38" s="4"/>
      <c r="K38" s="4">
        <v>3</v>
      </c>
      <c r="L38" s="4">
        <f t="shared" si="5"/>
        <v>150</v>
      </c>
      <c r="N38" s="4"/>
      <c r="O38" s="4"/>
      <c r="P38" s="4"/>
      <c r="Q38" s="4"/>
      <c r="R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M38" s="48"/>
      <c r="AN38" s="4" t="s">
        <v>47</v>
      </c>
      <c r="AO38" s="20">
        <v>300</v>
      </c>
      <c r="AP38" s="4">
        <v>3</v>
      </c>
      <c r="AQ38" s="20">
        <f t="shared" si="12"/>
        <v>900</v>
      </c>
      <c r="AR38" s="4"/>
      <c r="AS38" s="4"/>
    </row>
    <row r="39" spans="1:45" ht="41.25" customHeight="1" x14ac:dyDescent="0.2">
      <c r="A39" s="4">
        <v>36</v>
      </c>
      <c r="B39" s="10">
        <v>45914</v>
      </c>
      <c r="C39" s="4">
        <v>15</v>
      </c>
      <c r="D39" s="4"/>
      <c r="E39" s="4">
        <f t="shared" si="3"/>
        <v>242</v>
      </c>
      <c r="F39" s="4">
        <v>19.5</v>
      </c>
      <c r="G39" s="4"/>
      <c r="H39" s="4">
        <f t="shared" si="4"/>
        <v>12.5</v>
      </c>
      <c r="I39" s="4">
        <f t="shared" si="0"/>
        <v>222.5</v>
      </c>
      <c r="J39" s="4"/>
      <c r="K39" s="4">
        <v>4</v>
      </c>
      <c r="L39" s="4">
        <f t="shared" si="5"/>
        <v>154</v>
      </c>
      <c r="N39" s="4"/>
      <c r="O39" s="4"/>
      <c r="P39" s="4"/>
      <c r="Q39" s="4"/>
      <c r="R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M39" s="4" t="s">
        <v>110</v>
      </c>
      <c r="AN39" s="4" t="s">
        <v>109</v>
      </c>
      <c r="AO39" s="11">
        <v>200</v>
      </c>
      <c r="AP39" s="4">
        <v>2</v>
      </c>
      <c r="AQ39" s="11">
        <f t="shared" si="12"/>
        <v>400</v>
      </c>
      <c r="AR39" s="4"/>
      <c r="AS39" s="4"/>
    </row>
    <row r="40" spans="1:45" ht="41.25" customHeight="1" x14ac:dyDescent="0.2">
      <c r="A40" s="4">
        <v>37</v>
      </c>
      <c r="B40" s="10">
        <v>45915</v>
      </c>
      <c r="C40" s="4">
        <v>6</v>
      </c>
      <c r="D40" s="4"/>
      <c r="E40" s="4">
        <f t="shared" si="3"/>
        <v>248</v>
      </c>
      <c r="F40" s="4">
        <v>15</v>
      </c>
      <c r="G40" s="4"/>
      <c r="H40" s="4">
        <f t="shared" si="4"/>
        <v>10.5</v>
      </c>
      <c r="I40" s="4">
        <f t="shared" si="0"/>
        <v>233</v>
      </c>
      <c r="J40" s="4"/>
      <c r="K40" s="4">
        <v>4</v>
      </c>
      <c r="L40" s="4">
        <f t="shared" si="5"/>
        <v>158</v>
      </c>
      <c r="N40" s="4"/>
      <c r="O40" s="4"/>
      <c r="P40" s="4"/>
      <c r="Q40" s="4"/>
      <c r="R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M40" s="48">
        <v>27</v>
      </c>
      <c r="AN40" s="4" t="s">
        <v>82</v>
      </c>
      <c r="AO40" s="20">
        <v>350</v>
      </c>
      <c r="AP40" s="4">
        <v>1</v>
      </c>
      <c r="AQ40" s="20">
        <f t="shared" si="12"/>
        <v>350</v>
      </c>
      <c r="AR40" s="4"/>
      <c r="AS40" s="4"/>
    </row>
    <row r="41" spans="1:45" ht="41.25" customHeight="1" x14ac:dyDescent="0.2">
      <c r="A41" s="4">
        <v>38</v>
      </c>
      <c r="B41" s="10">
        <v>45916</v>
      </c>
      <c r="C41" s="4">
        <v>7</v>
      </c>
      <c r="D41" s="4"/>
      <c r="E41" s="4">
        <f t="shared" si="3"/>
        <v>255</v>
      </c>
      <c r="F41" s="4">
        <v>14</v>
      </c>
      <c r="G41" s="4"/>
      <c r="H41" s="4">
        <f t="shared" si="4"/>
        <v>8</v>
      </c>
      <c r="I41" s="4">
        <f t="shared" si="0"/>
        <v>241</v>
      </c>
      <c r="J41" s="4"/>
      <c r="K41" s="4">
        <v>1</v>
      </c>
      <c r="L41" s="4">
        <f t="shared" si="5"/>
        <v>159</v>
      </c>
      <c r="N41" s="4"/>
      <c r="O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M41" s="48"/>
      <c r="AN41" s="4" t="s">
        <v>67</v>
      </c>
      <c r="AO41" s="21">
        <v>3</v>
      </c>
      <c r="AP41" s="4">
        <v>1</v>
      </c>
      <c r="AQ41" s="21">
        <f t="shared" si="12"/>
        <v>3</v>
      </c>
      <c r="AR41" s="4"/>
      <c r="AS41" s="4"/>
    </row>
    <row r="42" spans="1:45" ht="41.25" customHeight="1" x14ac:dyDescent="0.2">
      <c r="A42" s="4">
        <v>39</v>
      </c>
      <c r="B42" s="10">
        <v>45917</v>
      </c>
      <c r="C42" s="4"/>
      <c r="D42" s="4"/>
      <c r="E42" s="4">
        <f t="shared" si="3"/>
        <v>255</v>
      </c>
      <c r="F42" s="4">
        <v>7</v>
      </c>
      <c r="G42" s="4"/>
      <c r="H42" s="4">
        <f t="shared" si="4"/>
        <v>7</v>
      </c>
      <c r="I42" s="4">
        <f t="shared" si="0"/>
        <v>248</v>
      </c>
      <c r="J42" s="4"/>
      <c r="K42" s="4">
        <v>2</v>
      </c>
      <c r="L42" s="4">
        <f t="shared" si="5"/>
        <v>161</v>
      </c>
      <c r="N42" s="4"/>
      <c r="O42" s="4"/>
      <c r="P42" s="4"/>
      <c r="Q42" s="4"/>
      <c r="R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M42" s="48"/>
      <c r="AN42" s="4" t="s">
        <v>48</v>
      </c>
      <c r="AO42" s="11">
        <v>180</v>
      </c>
      <c r="AP42" s="4">
        <v>1</v>
      </c>
      <c r="AQ42" s="11">
        <f t="shared" si="12"/>
        <v>180</v>
      </c>
      <c r="AR42" s="4"/>
      <c r="AS42" s="4"/>
    </row>
    <row r="43" spans="1:45" ht="41.25" customHeight="1" x14ac:dyDescent="0.2">
      <c r="A43" s="4">
        <v>40</v>
      </c>
      <c r="B43" s="10">
        <v>45918</v>
      </c>
      <c r="C43" s="4">
        <v>10</v>
      </c>
      <c r="D43" s="4"/>
      <c r="E43" s="4">
        <f t="shared" si="3"/>
        <v>265</v>
      </c>
      <c r="F43" s="4">
        <v>11</v>
      </c>
      <c r="G43" s="4"/>
      <c r="H43" s="4">
        <f t="shared" si="4"/>
        <v>6</v>
      </c>
      <c r="I43" s="4">
        <f t="shared" si="0"/>
        <v>254</v>
      </c>
      <c r="J43" s="4"/>
      <c r="K43" s="4">
        <v>4</v>
      </c>
      <c r="L43" s="4">
        <f t="shared" si="5"/>
        <v>165</v>
      </c>
      <c r="N43" s="4"/>
      <c r="O43" s="4"/>
      <c r="P43" s="4"/>
      <c r="Q43" s="4"/>
      <c r="R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M43" s="48">
        <v>28</v>
      </c>
      <c r="AN43" s="4" t="s">
        <v>82</v>
      </c>
      <c r="AO43" s="4">
        <v>350</v>
      </c>
      <c r="AP43" s="4">
        <v>1</v>
      </c>
      <c r="AQ43" s="11">
        <f t="shared" si="12"/>
        <v>350</v>
      </c>
      <c r="AR43" s="4"/>
      <c r="AS43" s="4"/>
    </row>
    <row r="44" spans="1:45" ht="41.25" customHeight="1" x14ac:dyDescent="0.2">
      <c r="A44" s="4">
        <v>41</v>
      </c>
      <c r="B44" s="10">
        <v>45919</v>
      </c>
      <c r="C44" s="4">
        <v>10</v>
      </c>
      <c r="D44" s="4"/>
      <c r="E44" s="4">
        <f t="shared" si="3"/>
        <v>275</v>
      </c>
      <c r="F44" s="4">
        <v>15</v>
      </c>
      <c r="G44" s="4"/>
      <c r="H44" s="4">
        <f t="shared" si="4"/>
        <v>6</v>
      </c>
      <c r="I44" s="4">
        <f t="shared" si="0"/>
        <v>260</v>
      </c>
      <c r="J44" s="4"/>
      <c r="K44" s="4">
        <v>4</v>
      </c>
      <c r="L44" s="4">
        <f t="shared" si="5"/>
        <v>169</v>
      </c>
      <c r="N44" s="4"/>
      <c r="O44" s="4"/>
      <c r="P44" s="4"/>
      <c r="Q44" s="4"/>
      <c r="R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M44" s="48"/>
      <c r="AN44" s="4" t="s">
        <v>67</v>
      </c>
      <c r="AO44" s="21">
        <v>3</v>
      </c>
      <c r="AP44" s="4">
        <v>1</v>
      </c>
      <c r="AQ44" s="21">
        <f t="shared" si="12"/>
        <v>3</v>
      </c>
      <c r="AR44" s="4"/>
      <c r="AS44" s="4"/>
    </row>
    <row r="45" spans="1:45" ht="41.25" customHeight="1" x14ac:dyDescent="0.2">
      <c r="A45" s="4">
        <v>42</v>
      </c>
      <c r="B45" s="10">
        <v>45920</v>
      </c>
      <c r="C45" s="4"/>
      <c r="D45" s="4"/>
      <c r="E45" s="4">
        <f t="shared" si="3"/>
        <v>275</v>
      </c>
      <c r="F45" s="4">
        <v>9</v>
      </c>
      <c r="G45" s="4"/>
      <c r="H45" s="4">
        <f t="shared" si="4"/>
        <v>6</v>
      </c>
      <c r="I45" s="4">
        <f t="shared" si="0"/>
        <v>266</v>
      </c>
      <c r="J45" s="4"/>
      <c r="K45" s="4">
        <v>2</v>
      </c>
      <c r="L45" s="4">
        <f t="shared" si="5"/>
        <v>171</v>
      </c>
      <c r="N45" s="4"/>
      <c r="O45" s="4"/>
      <c r="P45" s="4"/>
      <c r="Q45" s="4"/>
      <c r="R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M45" s="48"/>
      <c r="AN45" s="4" t="s">
        <v>111</v>
      </c>
      <c r="AO45" s="11">
        <v>180</v>
      </c>
      <c r="AP45" s="4">
        <v>1</v>
      </c>
      <c r="AQ45" s="11">
        <f t="shared" si="12"/>
        <v>180</v>
      </c>
      <c r="AR45" s="4"/>
      <c r="AS45" s="4"/>
    </row>
    <row r="46" spans="1:45" ht="41.25" customHeight="1" x14ac:dyDescent="0.2">
      <c r="A46" s="4">
        <v>43</v>
      </c>
      <c r="B46" s="10">
        <v>45921</v>
      </c>
      <c r="C46" s="4">
        <v>3</v>
      </c>
      <c r="D46" s="4"/>
      <c r="E46" s="4">
        <f t="shared" si="3"/>
        <v>278</v>
      </c>
      <c r="F46" s="4">
        <v>7</v>
      </c>
      <c r="G46" s="4"/>
      <c r="H46" s="4">
        <f t="shared" si="4"/>
        <v>5</v>
      </c>
      <c r="I46" s="4">
        <f t="shared" ref="I46:I53" si="13">E46-F46-G46</f>
        <v>271</v>
      </c>
      <c r="J46" s="4"/>
      <c r="K46" s="4">
        <v>2</v>
      </c>
      <c r="L46" s="4">
        <f t="shared" si="5"/>
        <v>173</v>
      </c>
      <c r="N46" s="4"/>
      <c r="O46" s="4"/>
      <c r="P46" s="4"/>
      <c r="Q46" s="4"/>
      <c r="R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M46" s="48"/>
      <c r="AN46" s="4" t="s">
        <v>69</v>
      </c>
      <c r="AO46" s="4">
        <v>3</v>
      </c>
      <c r="AP46" s="4">
        <v>1</v>
      </c>
      <c r="AQ46" s="11">
        <f t="shared" si="12"/>
        <v>3</v>
      </c>
      <c r="AR46" s="4"/>
      <c r="AS46" s="4"/>
    </row>
    <row r="47" spans="1:45" ht="41.25" customHeight="1" x14ac:dyDescent="0.2">
      <c r="A47" s="4">
        <v>44</v>
      </c>
      <c r="B47" s="10">
        <v>45922</v>
      </c>
      <c r="C47" s="4"/>
      <c r="D47" s="4"/>
      <c r="E47" s="4">
        <f t="shared" si="3"/>
        <v>278</v>
      </c>
      <c r="F47" s="4">
        <v>3</v>
      </c>
      <c r="G47" s="4"/>
      <c r="H47" s="4">
        <f t="shared" si="4"/>
        <v>4</v>
      </c>
      <c r="I47" s="4">
        <f t="shared" si="13"/>
        <v>275</v>
      </c>
      <c r="J47" s="4"/>
      <c r="K47" s="4">
        <v>4</v>
      </c>
      <c r="L47" s="4">
        <f t="shared" si="5"/>
        <v>177</v>
      </c>
      <c r="N47" s="4"/>
      <c r="O47" s="4"/>
      <c r="P47" s="4"/>
      <c r="Q47" s="4"/>
      <c r="R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M47" s="48"/>
      <c r="AN47" s="4" t="s">
        <v>63</v>
      </c>
      <c r="AO47" s="11">
        <v>380</v>
      </c>
      <c r="AP47" s="4">
        <v>1</v>
      </c>
      <c r="AQ47" s="11">
        <f t="shared" si="12"/>
        <v>380</v>
      </c>
      <c r="AR47" s="4"/>
      <c r="AS47" s="4"/>
    </row>
    <row r="48" spans="1:45" ht="41.25" customHeight="1" x14ac:dyDescent="0.2">
      <c r="A48" s="4">
        <v>45</v>
      </c>
      <c r="B48" s="10">
        <v>45923</v>
      </c>
      <c r="C48" s="4"/>
      <c r="D48" s="4"/>
      <c r="E48" s="4">
        <f t="shared" si="3"/>
        <v>278</v>
      </c>
      <c r="F48" s="4">
        <v>2</v>
      </c>
      <c r="G48" s="4"/>
      <c r="H48" s="4">
        <f t="shared" si="4"/>
        <v>1</v>
      </c>
      <c r="I48" s="4">
        <f t="shared" si="13"/>
        <v>276</v>
      </c>
      <c r="J48" s="4"/>
      <c r="K48" s="4">
        <v>3</v>
      </c>
      <c r="L48" s="4">
        <f t="shared" si="5"/>
        <v>180</v>
      </c>
      <c r="N48" s="4"/>
      <c r="O48" s="4"/>
      <c r="P48" s="4"/>
      <c r="Q48" s="4"/>
      <c r="R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M48" s="48">
        <v>29</v>
      </c>
      <c r="AN48" s="4" t="s">
        <v>82</v>
      </c>
      <c r="AO48" s="20">
        <v>350</v>
      </c>
      <c r="AP48" s="4">
        <v>1</v>
      </c>
      <c r="AQ48" s="20">
        <f t="shared" si="12"/>
        <v>350</v>
      </c>
      <c r="AR48" s="4"/>
      <c r="AS48" s="4"/>
    </row>
    <row r="49" spans="1:45" ht="41.25" customHeight="1" x14ac:dyDescent="0.2">
      <c r="A49" s="4">
        <v>46</v>
      </c>
      <c r="B49" s="10">
        <v>45924</v>
      </c>
      <c r="C49" s="4"/>
      <c r="D49" s="4"/>
      <c r="E49" s="4">
        <f t="shared" si="3"/>
        <v>278</v>
      </c>
      <c r="F49" s="4">
        <v>2</v>
      </c>
      <c r="G49" s="4"/>
      <c r="H49" s="4">
        <f t="shared" si="4"/>
        <v>0</v>
      </c>
      <c r="I49" s="4">
        <f t="shared" si="13"/>
        <v>276</v>
      </c>
      <c r="J49" s="4"/>
      <c r="K49" s="4">
        <v>2</v>
      </c>
      <c r="L49" s="4">
        <f t="shared" si="5"/>
        <v>182</v>
      </c>
      <c r="N49" s="4"/>
      <c r="O49" s="4"/>
      <c r="P49" s="4"/>
      <c r="Q49" s="4"/>
      <c r="R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M49" s="48"/>
      <c r="AN49" s="4" t="s">
        <v>67</v>
      </c>
      <c r="AO49" s="21">
        <v>3</v>
      </c>
      <c r="AP49" s="4">
        <v>1</v>
      </c>
      <c r="AQ49" s="21">
        <f t="shared" si="12"/>
        <v>3</v>
      </c>
      <c r="AR49" s="4"/>
      <c r="AS49" s="4"/>
    </row>
    <row r="50" spans="1:45" ht="41.25" customHeight="1" x14ac:dyDescent="0.2">
      <c r="A50" s="4">
        <v>47</v>
      </c>
      <c r="B50" s="10">
        <v>45925</v>
      </c>
      <c r="C50" s="4"/>
      <c r="D50" s="4"/>
      <c r="E50" s="4">
        <f t="shared" si="3"/>
        <v>278</v>
      </c>
      <c r="F50" s="4"/>
      <c r="G50" s="4"/>
      <c r="H50" s="4">
        <f t="shared" si="4"/>
        <v>2</v>
      </c>
      <c r="I50" s="4">
        <f>E50-F50-G50</f>
        <v>278</v>
      </c>
      <c r="J50" s="4"/>
      <c r="K50" s="4"/>
      <c r="L50" s="4">
        <f t="shared" si="5"/>
        <v>182</v>
      </c>
      <c r="N50" s="4"/>
      <c r="O50" s="4"/>
      <c r="P50" s="4"/>
      <c r="Q50" s="4"/>
      <c r="R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M50" s="48"/>
      <c r="AN50" s="4" t="s">
        <v>48</v>
      </c>
      <c r="AO50" s="11">
        <v>180</v>
      </c>
      <c r="AP50" s="4">
        <v>1</v>
      </c>
      <c r="AQ50" s="11">
        <f t="shared" si="12"/>
        <v>180</v>
      </c>
      <c r="AR50" s="4"/>
      <c r="AS50" s="4"/>
    </row>
    <row r="51" spans="1:45" ht="41.25" customHeight="1" x14ac:dyDescent="0.2">
      <c r="A51" s="4">
        <v>48</v>
      </c>
      <c r="B51" s="10">
        <v>45926</v>
      </c>
      <c r="C51" s="4"/>
      <c r="D51" s="4"/>
      <c r="E51" s="4">
        <f t="shared" si="3"/>
        <v>278</v>
      </c>
      <c r="F51" s="4"/>
      <c r="G51" s="4"/>
      <c r="H51" s="4">
        <f t="shared" si="4"/>
        <v>0</v>
      </c>
      <c r="I51" s="4">
        <f t="shared" si="13"/>
        <v>278</v>
      </c>
      <c r="J51" s="4"/>
      <c r="K51" s="4"/>
      <c r="L51" s="4">
        <f t="shared" si="5"/>
        <v>182</v>
      </c>
      <c r="N51" s="4"/>
      <c r="O51" s="4"/>
      <c r="P51" s="4"/>
      <c r="Q51" s="4"/>
      <c r="R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M51" s="4" t="s">
        <v>112</v>
      </c>
      <c r="AN51" s="4" t="s">
        <v>72</v>
      </c>
      <c r="AO51" s="20">
        <v>350</v>
      </c>
      <c r="AP51" s="4">
        <v>2</v>
      </c>
      <c r="AQ51" s="20">
        <f t="shared" si="12"/>
        <v>700</v>
      </c>
      <c r="AR51" s="4"/>
      <c r="AS51" s="4"/>
    </row>
    <row r="52" spans="1:45" ht="41.25" customHeight="1" x14ac:dyDescent="0.2">
      <c r="A52" s="4">
        <v>49</v>
      </c>
      <c r="B52" s="10">
        <v>45927</v>
      </c>
      <c r="C52" s="4"/>
      <c r="D52" s="4"/>
      <c r="E52" s="4">
        <f t="shared" si="3"/>
        <v>278</v>
      </c>
      <c r="F52" s="4"/>
      <c r="G52" s="4"/>
      <c r="H52" s="4">
        <f t="shared" si="4"/>
        <v>0</v>
      </c>
      <c r="I52" s="4">
        <f t="shared" si="13"/>
        <v>278</v>
      </c>
      <c r="J52" s="4"/>
      <c r="K52" s="4"/>
      <c r="L52" s="4">
        <f t="shared" si="5"/>
        <v>182</v>
      </c>
      <c r="N52" s="4"/>
      <c r="O52" s="4"/>
      <c r="P52" s="4"/>
      <c r="Q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M52" s="48" t="s">
        <v>74</v>
      </c>
      <c r="AN52" s="4" t="s">
        <v>61</v>
      </c>
      <c r="AO52" s="20">
        <v>120</v>
      </c>
      <c r="AP52" s="4">
        <v>2</v>
      </c>
      <c r="AQ52" s="20">
        <f t="shared" si="12"/>
        <v>240</v>
      </c>
      <c r="AR52" s="4"/>
      <c r="AS52" s="4"/>
    </row>
    <row r="53" spans="1:45" ht="41.25" customHeight="1" x14ac:dyDescent="0.2">
      <c r="A53" s="4">
        <v>50</v>
      </c>
      <c r="B53" s="10">
        <v>45928</v>
      </c>
      <c r="C53" s="4"/>
      <c r="D53" s="4"/>
      <c r="E53" s="4">
        <f t="shared" si="3"/>
        <v>278</v>
      </c>
      <c r="F53" s="4"/>
      <c r="G53" s="4"/>
      <c r="H53" s="4">
        <f t="shared" si="4"/>
        <v>0</v>
      </c>
      <c r="I53" s="4">
        <f t="shared" si="13"/>
        <v>278</v>
      </c>
      <c r="J53" s="4"/>
      <c r="K53" s="4"/>
      <c r="L53" s="4">
        <f t="shared" si="5"/>
        <v>182</v>
      </c>
      <c r="N53" s="4"/>
      <c r="O53" s="4"/>
      <c r="P53" s="4"/>
      <c r="Q53" s="4"/>
      <c r="R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M53" s="48"/>
      <c r="AN53" s="4" t="s">
        <v>67</v>
      </c>
      <c r="AO53" s="21">
        <v>4</v>
      </c>
      <c r="AP53" s="4">
        <v>2</v>
      </c>
      <c r="AQ53" s="21">
        <f t="shared" si="12"/>
        <v>8</v>
      </c>
      <c r="AR53" s="4"/>
      <c r="AS53" s="4"/>
    </row>
    <row r="54" spans="1:45" ht="41.25" customHeight="1" x14ac:dyDescent="0.2">
      <c r="H54" s="4"/>
      <c r="AE54" s="4"/>
      <c r="AF54" s="4"/>
      <c r="AG54" s="4"/>
      <c r="AH54" s="4"/>
      <c r="AI54" s="4"/>
      <c r="AJ54" s="4"/>
      <c r="AK54" s="4"/>
      <c r="AM54" s="48"/>
      <c r="AN54" s="4" t="s">
        <v>48</v>
      </c>
      <c r="AO54" s="11">
        <v>250</v>
      </c>
      <c r="AP54" s="4">
        <v>2</v>
      </c>
      <c r="AQ54" s="11">
        <f t="shared" si="12"/>
        <v>500</v>
      </c>
      <c r="AR54" s="4"/>
      <c r="AS54" s="4"/>
    </row>
    <row r="55" spans="1:45" ht="41.25" customHeight="1" x14ac:dyDescent="0.2">
      <c r="AE55" s="4"/>
      <c r="AF55" s="4"/>
      <c r="AG55" s="4"/>
      <c r="AH55" s="4"/>
      <c r="AI55" s="4"/>
      <c r="AJ55" s="4"/>
      <c r="AK55" s="4"/>
      <c r="AL55" s="1"/>
      <c r="AM55" s="4"/>
      <c r="AN55" s="4"/>
      <c r="AO55" s="4"/>
      <c r="AP55" s="4"/>
      <c r="AQ55" s="20"/>
      <c r="AR55" s="4"/>
      <c r="AS55" s="4"/>
    </row>
    <row r="56" spans="1:45" ht="41.25" customHeight="1" x14ac:dyDescent="0.2">
      <c r="AM56" s="4"/>
      <c r="AN56" s="4"/>
      <c r="AO56" s="4"/>
      <c r="AP56" s="4"/>
      <c r="AQ56" s="20"/>
      <c r="AR56" s="4"/>
      <c r="AS56" s="4"/>
    </row>
    <row r="57" spans="1:45" ht="41.25" customHeight="1" x14ac:dyDescent="0.2">
      <c r="AM57" s="4"/>
      <c r="AN57" s="4"/>
      <c r="AO57" s="4"/>
      <c r="AP57" s="4"/>
      <c r="AQ57" s="20"/>
      <c r="AR57" s="4"/>
      <c r="AS57" s="4"/>
    </row>
    <row r="58" spans="1:45" ht="41.25" customHeight="1" x14ac:dyDescent="0.2">
      <c r="AM58" s="4"/>
      <c r="AN58" s="4"/>
      <c r="AO58" s="4"/>
      <c r="AP58" s="20"/>
      <c r="AQ58" s="4"/>
      <c r="AR58" s="4"/>
      <c r="AS58" s="4"/>
    </row>
    <row r="59" spans="1:45" ht="41.25" customHeight="1" x14ac:dyDescent="0.2">
      <c r="AM59" s="4"/>
      <c r="AN59" s="4"/>
      <c r="AO59" s="4"/>
      <c r="AP59" s="4"/>
      <c r="AQ59" s="20"/>
      <c r="AR59" s="4"/>
      <c r="AS59" s="4"/>
    </row>
    <row r="60" spans="1:45" ht="41.25" customHeight="1" x14ac:dyDescent="0.2">
      <c r="AM60" s="4"/>
      <c r="AN60" s="4"/>
      <c r="AO60" s="4"/>
      <c r="AP60" s="4"/>
      <c r="AQ60" s="20"/>
      <c r="AR60" s="4"/>
      <c r="AS60" s="4"/>
    </row>
    <row r="61" spans="1:45" ht="41.25" customHeight="1" x14ac:dyDescent="0.2">
      <c r="AM61" s="4"/>
      <c r="AN61" s="4"/>
      <c r="AO61" s="4"/>
      <c r="AP61" s="4"/>
      <c r="AQ61" s="20"/>
      <c r="AR61" s="4"/>
      <c r="AS61" s="4"/>
    </row>
    <row r="62" spans="1:45" ht="41.25" customHeight="1" x14ac:dyDescent="0.2">
      <c r="AM62" s="4"/>
      <c r="AN62" s="4"/>
      <c r="AO62" s="4"/>
      <c r="AP62" s="4"/>
      <c r="AQ62" s="20"/>
      <c r="AR62" s="4"/>
      <c r="AS62" s="4"/>
    </row>
    <row r="63" spans="1:45" ht="41.25" customHeight="1" x14ac:dyDescent="0.2">
      <c r="AM63" s="4"/>
      <c r="AN63" s="4"/>
      <c r="AO63" s="4"/>
      <c r="AP63" s="4"/>
      <c r="AQ63" s="20"/>
      <c r="AR63" s="4"/>
      <c r="AS63" s="4"/>
    </row>
    <row r="64" spans="1:45" ht="41.25" customHeight="1" x14ac:dyDescent="0.2">
      <c r="AM64" s="4"/>
      <c r="AN64" s="4"/>
      <c r="AO64" s="4"/>
      <c r="AP64" s="4"/>
      <c r="AQ64" s="20"/>
      <c r="AR64" s="4"/>
      <c r="AS64" s="4"/>
    </row>
  </sheetData>
  <mergeCells count="28">
    <mergeCell ref="AM40:AM42"/>
    <mergeCell ref="AM43:AM47"/>
    <mergeCell ref="AM48:AM50"/>
    <mergeCell ref="AM52:AM54"/>
    <mergeCell ref="AM12:AM15"/>
    <mergeCell ref="AM16:AM19"/>
    <mergeCell ref="AM30:AM33"/>
    <mergeCell ref="AM34:AM35"/>
    <mergeCell ref="AM36:AM38"/>
    <mergeCell ref="C1:K1"/>
    <mergeCell ref="T1:AK1"/>
    <mergeCell ref="A2:B2"/>
    <mergeCell ref="C2:K2"/>
    <mergeCell ref="AC2:AF2"/>
    <mergeCell ref="AH2:AJ2"/>
    <mergeCell ref="AM4:AM7"/>
    <mergeCell ref="AM24:AM27"/>
    <mergeCell ref="AM28:AM29"/>
    <mergeCell ref="AM2:AS2"/>
    <mergeCell ref="N1:R1"/>
    <mergeCell ref="N2:R2"/>
    <mergeCell ref="T2:U2"/>
    <mergeCell ref="V2:W2"/>
    <mergeCell ref="X2:Z2"/>
    <mergeCell ref="AH4:AH5"/>
    <mergeCell ref="AI4:AI5"/>
    <mergeCell ref="AK4:AK5"/>
    <mergeCell ref="AJ4:AJ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CE0D9-B5E2-4898-82A6-C41A745ED2BD}">
  <sheetPr>
    <tabColor rgb="FF0070C0"/>
  </sheetPr>
  <dimension ref="A1:AR64"/>
  <sheetViews>
    <sheetView workbookViewId="0">
      <pane ySplit="3" topLeftCell="A4" activePane="bottomLeft" state="frozen"/>
      <selection pane="bottomLeft" activeCell="B9" sqref="B9"/>
    </sheetView>
  </sheetViews>
  <sheetFormatPr defaultColWidth="12.125" defaultRowHeight="18" x14ac:dyDescent="0.2"/>
  <cols>
    <col min="1" max="1" width="10.5" style="1" bestFit="1" customWidth="1"/>
    <col min="2" max="2" width="14.875" style="1" customWidth="1"/>
    <col min="3" max="3" width="13.5" style="1" bestFit="1" customWidth="1"/>
    <col min="4" max="4" width="11.875" style="1" bestFit="1" customWidth="1"/>
    <col min="5" max="5" width="14.5" style="1" bestFit="1" customWidth="1"/>
    <col min="6" max="6" width="15.375" style="1" bestFit="1" customWidth="1"/>
    <col min="7" max="7" width="13.75" style="1" bestFit="1" customWidth="1"/>
    <col min="8" max="8" width="23.25" style="1" bestFit="1" customWidth="1"/>
    <col min="9" max="9" width="27" style="1" bestFit="1" customWidth="1"/>
    <col min="10" max="10" width="14.25" style="1" bestFit="1" customWidth="1"/>
    <col min="11" max="11" width="9.125" style="1" bestFit="1" customWidth="1"/>
    <col min="12" max="12" width="20.125" style="1" bestFit="1" customWidth="1"/>
    <col min="13" max="13" width="7.625" style="3" customWidth="1"/>
    <col min="14" max="14" width="20.875" style="1" customWidth="1"/>
    <col min="15" max="15" width="19.5" style="1" customWidth="1"/>
    <col min="16" max="16" width="18.25" style="1" customWidth="1"/>
    <col min="17" max="17" width="17.625" style="1" customWidth="1"/>
    <col min="18" max="18" width="21.375" style="1" customWidth="1"/>
    <col min="19" max="19" width="8.5" style="2" customWidth="1"/>
    <col min="20" max="20" width="15.625" style="1" customWidth="1"/>
    <col min="21" max="21" width="14.75" style="1" customWidth="1"/>
    <col min="22" max="22" width="15.375" style="1" customWidth="1"/>
    <col min="23" max="23" width="23" style="1" customWidth="1"/>
    <col min="24" max="24" width="22.625" style="1" customWidth="1"/>
    <col min="25" max="25" width="13" style="1" bestFit="1" customWidth="1"/>
    <col min="26" max="26" width="16.375" style="1" bestFit="1" customWidth="1"/>
    <col min="27" max="27" width="23.125" style="1" bestFit="1" customWidth="1"/>
    <col min="28" max="28" width="23.125" style="1" customWidth="1"/>
    <col min="29" max="29" width="12" style="1" customWidth="1"/>
    <col min="30" max="31" width="12.125" style="1"/>
    <col min="32" max="32" width="30.75" style="1" bestFit="1" customWidth="1"/>
    <col min="33" max="33" width="30.75" style="1" customWidth="1"/>
    <col min="34" max="34" width="29" style="1" bestFit="1" customWidth="1"/>
    <col min="35" max="35" width="13.75" style="1" customWidth="1"/>
    <col min="36" max="36" width="13.875" style="1" customWidth="1"/>
    <col min="37" max="37" width="10.375" style="7" customWidth="1"/>
    <col min="38" max="39" width="18.625" style="1" customWidth="1"/>
    <col min="40" max="40" width="19.125" style="1" customWidth="1"/>
    <col min="41" max="41" width="15.75" style="1" customWidth="1"/>
    <col min="42" max="42" width="16.5" style="1" customWidth="1"/>
    <col min="43" max="43" width="17.75" style="1" customWidth="1"/>
    <col min="44" max="44" width="17.375" style="1" customWidth="1"/>
    <col min="45" max="16384" width="12.125" style="1"/>
  </cols>
  <sheetData>
    <row r="1" spans="1:44" ht="41.25" customHeight="1" x14ac:dyDescent="0.2">
      <c r="A1" s="4"/>
      <c r="B1" s="48" t="s">
        <v>115</v>
      </c>
      <c r="C1" s="48"/>
      <c r="D1" s="48"/>
      <c r="E1" s="48"/>
      <c r="F1" s="48"/>
      <c r="G1" s="48"/>
      <c r="H1" s="48"/>
      <c r="I1" s="48"/>
      <c r="J1" s="48"/>
      <c r="K1" s="48"/>
      <c r="L1" s="4"/>
      <c r="N1" s="45"/>
      <c r="O1" s="46"/>
      <c r="P1" s="46"/>
      <c r="Q1" s="46"/>
      <c r="R1" s="47"/>
      <c r="T1" s="45" t="s">
        <v>26</v>
      </c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L1" s="4"/>
      <c r="AM1" s="4"/>
      <c r="AN1" s="4"/>
      <c r="AO1" s="4"/>
      <c r="AP1" s="4"/>
      <c r="AQ1" s="4"/>
      <c r="AR1" s="4"/>
    </row>
    <row r="2" spans="1:44" ht="41.25" customHeight="1" x14ac:dyDescent="0.2">
      <c r="A2" s="54">
        <v>45885</v>
      </c>
      <c r="B2" s="48"/>
      <c r="C2" s="48" t="s">
        <v>116</v>
      </c>
      <c r="D2" s="48"/>
      <c r="E2" s="48"/>
      <c r="F2" s="48"/>
      <c r="G2" s="48"/>
      <c r="H2" s="48"/>
      <c r="I2" s="48"/>
      <c r="J2" s="48"/>
      <c r="K2" s="48"/>
      <c r="L2" s="4" t="s">
        <v>119</v>
      </c>
      <c r="N2" s="45" t="s">
        <v>27</v>
      </c>
      <c r="O2" s="46"/>
      <c r="P2" s="46"/>
      <c r="Q2" s="46"/>
      <c r="R2" s="47"/>
      <c r="T2" s="45" t="s">
        <v>117</v>
      </c>
      <c r="U2" s="46"/>
      <c r="V2" s="45" t="s">
        <v>41</v>
      </c>
      <c r="W2" s="47"/>
      <c r="X2" s="45">
        <v>1833</v>
      </c>
      <c r="Y2" s="47"/>
      <c r="Z2" s="6"/>
      <c r="AA2" s="6"/>
      <c r="AB2" s="46" t="s">
        <v>9</v>
      </c>
      <c r="AC2" s="46"/>
      <c r="AD2" s="46"/>
      <c r="AE2" s="47"/>
      <c r="AF2" s="4"/>
      <c r="AG2" s="4"/>
      <c r="AH2" s="4"/>
      <c r="AI2" s="8"/>
      <c r="AJ2" s="4"/>
      <c r="AL2" s="48" t="s">
        <v>33</v>
      </c>
      <c r="AM2" s="48"/>
      <c r="AN2" s="48"/>
      <c r="AO2" s="48"/>
      <c r="AP2" s="48"/>
      <c r="AQ2" s="48"/>
      <c r="AR2" s="48"/>
    </row>
    <row r="3" spans="1:44" ht="41.25" customHeight="1" x14ac:dyDescent="0.2">
      <c r="A3" s="29" t="s">
        <v>0</v>
      </c>
      <c r="B3" s="29" t="s">
        <v>1</v>
      </c>
      <c r="C3" s="29" t="s">
        <v>2</v>
      </c>
      <c r="D3" s="29" t="s">
        <v>3</v>
      </c>
      <c r="E3" s="29" t="s">
        <v>4</v>
      </c>
      <c r="F3" s="29" t="s">
        <v>5</v>
      </c>
      <c r="G3" s="29" t="s">
        <v>6</v>
      </c>
      <c r="H3" s="29" t="s">
        <v>11</v>
      </c>
      <c r="I3" s="29" t="s">
        <v>7</v>
      </c>
      <c r="J3" s="32" t="s">
        <v>8</v>
      </c>
      <c r="K3" s="29" t="s">
        <v>9</v>
      </c>
      <c r="L3" s="29" t="s">
        <v>10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T3" s="4" t="s">
        <v>1</v>
      </c>
      <c r="U3" s="4" t="s">
        <v>17</v>
      </c>
      <c r="V3" s="4" t="s">
        <v>8</v>
      </c>
      <c r="W3" s="4" t="s">
        <v>18</v>
      </c>
      <c r="X3" s="4" t="s">
        <v>19</v>
      </c>
      <c r="Y3" s="4" t="s">
        <v>38</v>
      </c>
      <c r="Z3" s="4" t="s">
        <v>25</v>
      </c>
      <c r="AA3" s="4" t="s">
        <v>18</v>
      </c>
      <c r="AB3" s="4" t="s">
        <v>23</v>
      </c>
      <c r="AC3" s="4" t="s">
        <v>20</v>
      </c>
      <c r="AD3" s="4" t="s">
        <v>21</v>
      </c>
      <c r="AE3" s="4" t="s">
        <v>22</v>
      </c>
      <c r="AF3" s="4" t="s">
        <v>43</v>
      </c>
      <c r="AG3" s="4" t="s">
        <v>7</v>
      </c>
      <c r="AH3" s="4" t="s">
        <v>44</v>
      </c>
      <c r="AI3" s="4" t="s">
        <v>8</v>
      </c>
      <c r="AJ3" s="4" t="s">
        <v>24</v>
      </c>
      <c r="AL3" s="4" t="s">
        <v>28</v>
      </c>
      <c r="AM3" s="4" t="s">
        <v>29</v>
      </c>
      <c r="AN3" s="4" t="s">
        <v>14</v>
      </c>
      <c r="AO3" s="4" t="s">
        <v>30</v>
      </c>
      <c r="AP3" s="4" t="s">
        <v>31</v>
      </c>
      <c r="AQ3" s="4" t="s">
        <v>32</v>
      </c>
      <c r="AR3" s="4" t="s">
        <v>16</v>
      </c>
    </row>
    <row r="4" spans="1:44" ht="41.25" customHeight="1" x14ac:dyDescent="0.2">
      <c r="A4" s="29">
        <v>1</v>
      </c>
      <c r="B4" s="30">
        <v>45886</v>
      </c>
      <c r="C4" s="29">
        <v>7</v>
      </c>
      <c r="D4" s="29"/>
      <c r="E4" s="31">
        <v>7</v>
      </c>
      <c r="F4" s="29">
        <v>6</v>
      </c>
      <c r="G4" s="29"/>
      <c r="H4" s="31">
        <v>1</v>
      </c>
      <c r="I4" s="31">
        <v>1</v>
      </c>
      <c r="J4" s="32"/>
      <c r="K4" s="29">
        <v>3</v>
      </c>
      <c r="L4" s="31">
        <v>3</v>
      </c>
      <c r="N4" s="4"/>
      <c r="O4" s="4"/>
      <c r="P4" s="4"/>
      <c r="Q4" s="4"/>
      <c r="R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L4" s="48" t="s">
        <v>105</v>
      </c>
      <c r="AM4" s="4" t="s">
        <v>45</v>
      </c>
      <c r="AN4" s="20">
        <v>27</v>
      </c>
      <c r="AO4" s="4">
        <v>2</v>
      </c>
      <c r="AP4" s="20">
        <f>AN4*AO4</f>
        <v>54</v>
      </c>
      <c r="AQ4" s="4"/>
      <c r="AR4" s="25"/>
    </row>
    <row r="5" spans="1:44" ht="41.25" customHeight="1" x14ac:dyDescent="0.2">
      <c r="A5" s="29">
        <v>2</v>
      </c>
      <c r="B5" s="30">
        <v>45887</v>
      </c>
      <c r="C5" s="29"/>
      <c r="D5" s="29"/>
      <c r="E5" s="31">
        <v>7</v>
      </c>
      <c r="F5" s="29">
        <v>5.5</v>
      </c>
      <c r="G5" s="29"/>
      <c r="H5" s="31">
        <v>0.5</v>
      </c>
      <c r="I5" s="31">
        <v>1.5</v>
      </c>
      <c r="J5" s="32"/>
      <c r="K5" s="29">
        <v>5</v>
      </c>
      <c r="L5" s="31">
        <v>8</v>
      </c>
      <c r="N5" s="4"/>
      <c r="O5" s="4"/>
      <c r="P5" s="4"/>
      <c r="Q5" s="4"/>
      <c r="R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L5" s="48"/>
      <c r="AM5" s="4" t="s">
        <v>77</v>
      </c>
      <c r="AN5" s="20">
        <v>20</v>
      </c>
      <c r="AO5" s="4">
        <v>2</v>
      </c>
      <c r="AP5" s="20">
        <f t="shared" ref="AP5:AP13" si="0">AN5*AO5</f>
        <v>40</v>
      </c>
      <c r="AQ5" s="4"/>
      <c r="AR5" s="20"/>
    </row>
    <row r="6" spans="1:44" ht="41.25" customHeight="1" x14ac:dyDescent="0.2">
      <c r="A6" s="29">
        <v>3</v>
      </c>
      <c r="B6" s="30">
        <v>45888</v>
      </c>
      <c r="C6" s="29"/>
      <c r="D6" s="29"/>
      <c r="E6" s="31">
        <v>7</v>
      </c>
      <c r="F6" s="29">
        <v>4</v>
      </c>
      <c r="G6" s="29"/>
      <c r="H6" s="31">
        <v>1.5</v>
      </c>
      <c r="I6" s="31">
        <v>3</v>
      </c>
      <c r="J6" s="32"/>
      <c r="K6" s="29">
        <v>3</v>
      </c>
      <c r="L6" s="31">
        <v>11</v>
      </c>
      <c r="N6" s="4"/>
      <c r="O6" s="4"/>
      <c r="P6" s="4"/>
      <c r="Q6" s="4"/>
      <c r="R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L6" s="48"/>
      <c r="AM6" s="4" t="s">
        <v>61</v>
      </c>
      <c r="AN6" s="20">
        <v>6</v>
      </c>
      <c r="AO6" s="4">
        <v>2</v>
      </c>
      <c r="AP6" s="20">
        <f t="shared" si="0"/>
        <v>12</v>
      </c>
      <c r="AQ6" s="4"/>
      <c r="AR6" s="4"/>
    </row>
    <row r="7" spans="1:44" ht="41.25" customHeight="1" x14ac:dyDescent="0.2">
      <c r="A7" s="29">
        <v>4</v>
      </c>
      <c r="B7" s="30">
        <v>45889</v>
      </c>
      <c r="C7" s="29"/>
      <c r="D7" s="29"/>
      <c r="E7" s="31">
        <v>7</v>
      </c>
      <c r="F7" s="29">
        <v>3</v>
      </c>
      <c r="G7" s="29"/>
      <c r="H7" s="31">
        <v>1</v>
      </c>
      <c r="I7" s="31">
        <v>4</v>
      </c>
      <c r="J7" s="32"/>
      <c r="K7" s="29">
        <v>7</v>
      </c>
      <c r="L7" s="31">
        <v>18</v>
      </c>
      <c r="N7" s="4"/>
      <c r="O7" s="4"/>
      <c r="P7" s="4"/>
      <c r="Q7" s="4"/>
      <c r="R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L7" s="48"/>
      <c r="AM7" s="4" t="s">
        <v>47</v>
      </c>
      <c r="AN7" s="20">
        <v>20</v>
      </c>
      <c r="AO7" s="4">
        <v>2</v>
      </c>
      <c r="AP7" s="20">
        <f t="shared" si="0"/>
        <v>40</v>
      </c>
      <c r="AQ7" s="4"/>
      <c r="AR7" s="4"/>
    </row>
    <row r="8" spans="1:44" ht="41.25" customHeight="1" x14ac:dyDescent="0.2">
      <c r="A8" s="29">
        <v>5</v>
      </c>
      <c r="B8" s="30">
        <v>45890</v>
      </c>
      <c r="C8" s="29">
        <v>4</v>
      </c>
      <c r="D8" s="29"/>
      <c r="E8" s="31">
        <v>11</v>
      </c>
      <c r="F8" s="29">
        <v>6</v>
      </c>
      <c r="G8" s="29"/>
      <c r="H8" s="31">
        <v>1</v>
      </c>
      <c r="I8" s="31">
        <v>5</v>
      </c>
      <c r="J8" s="32"/>
      <c r="K8" s="29">
        <v>2</v>
      </c>
      <c r="L8" s="31">
        <v>20</v>
      </c>
      <c r="N8" s="4"/>
      <c r="O8" s="4"/>
      <c r="P8" s="4"/>
      <c r="Q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L8" s="21" t="s">
        <v>106</v>
      </c>
      <c r="AM8" s="21" t="s">
        <v>45</v>
      </c>
      <c r="AN8" s="21">
        <v>27</v>
      </c>
      <c r="AO8" s="4">
        <v>2</v>
      </c>
      <c r="AP8" s="20">
        <f t="shared" si="0"/>
        <v>54</v>
      </c>
      <c r="AQ8" s="4"/>
      <c r="AR8" s="4"/>
    </row>
    <row r="9" spans="1:44" ht="41.25" customHeight="1" x14ac:dyDescent="0.2">
      <c r="A9" s="29">
        <v>6</v>
      </c>
      <c r="B9" s="30">
        <v>45891</v>
      </c>
      <c r="C9" s="29"/>
      <c r="D9" s="29"/>
      <c r="E9" s="31">
        <v>11</v>
      </c>
      <c r="F9" s="29">
        <v>4.5</v>
      </c>
      <c r="G9" s="29"/>
      <c r="H9" s="31">
        <v>1.5</v>
      </c>
      <c r="I9" s="31">
        <v>6.5</v>
      </c>
      <c r="J9" s="32"/>
      <c r="K9" s="29">
        <v>2</v>
      </c>
      <c r="L9" s="31">
        <v>22</v>
      </c>
      <c r="N9" s="4"/>
      <c r="O9" s="4"/>
      <c r="P9" s="4"/>
      <c r="Q9" s="4"/>
      <c r="R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L9" s="21"/>
      <c r="AM9" s="21" t="s">
        <v>77</v>
      </c>
      <c r="AN9" s="21">
        <v>20</v>
      </c>
      <c r="AO9" s="4">
        <v>2</v>
      </c>
      <c r="AP9" s="20">
        <f t="shared" si="0"/>
        <v>40</v>
      </c>
      <c r="AQ9" s="4"/>
      <c r="AR9" s="4"/>
    </row>
    <row r="10" spans="1:44" ht="41.25" customHeight="1" x14ac:dyDescent="0.2">
      <c r="A10" s="29">
        <v>7</v>
      </c>
      <c r="B10" s="30">
        <v>45892</v>
      </c>
      <c r="C10" s="29">
        <v>8</v>
      </c>
      <c r="D10" s="29"/>
      <c r="E10" s="31">
        <v>19</v>
      </c>
      <c r="F10" s="29">
        <v>11</v>
      </c>
      <c r="G10" s="29"/>
      <c r="H10" s="31">
        <v>1.5</v>
      </c>
      <c r="I10" s="31">
        <v>8</v>
      </c>
      <c r="J10" s="32">
        <v>201</v>
      </c>
      <c r="K10" s="29">
        <v>3</v>
      </c>
      <c r="L10" s="31">
        <v>25</v>
      </c>
      <c r="N10" s="4"/>
      <c r="O10" s="4"/>
      <c r="P10" s="4"/>
      <c r="Q10" s="4"/>
      <c r="R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L10" s="21"/>
      <c r="AM10" s="21" t="s">
        <v>58</v>
      </c>
      <c r="AN10" s="21">
        <v>8</v>
      </c>
      <c r="AO10" s="4">
        <v>2</v>
      </c>
      <c r="AP10" s="20">
        <f t="shared" si="0"/>
        <v>16</v>
      </c>
      <c r="AQ10" s="4"/>
      <c r="AR10" s="4"/>
    </row>
    <row r="11" spans="1:44" ht="41.25" customHeight="1" x14ac:dyDescent="0.2">
      <c r="A11" s="29">
        <v>8</v>
      </c>
      <c r="B11" s="30">
        <v>45893</v>
      </c>
      <c r="C11" s="29"/>
      <c r="D11" s="29"/>
      <c r="E11" s="31">
        <v>19</v>
      </c>
      <c r="F11" s="29">
        <v>9.5</v>
      </c>
      <c r="G11" s="29"/>
      <c r="H11" s="31">
        <v>1.5</v>
      </c>
      <c r="I11" s="31">
        <v>9.5</v>
      </c>
      <c r="J11" s="32"/>
      <c r="K11" s="29">
        <v>2</v>
      </c>
      <c r="L11" s="31">
        <v>27</v>
      </c>
      <c r="N11" s="4"/>
      <c r="O11" s="4"/>
      <c r="P11" s="4"/>
      <c r="Q11" s="4"/>
      <c r="R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L11" s="21"/>
      <c r="AM11" s="21" t="s">
        <v>47</v>
      </c>
      <c r="AN11" s="21">
        <v>24</v>
      </c>
      <c r="AO11" s="4">
        <v>2</v>
      </c>
      <c r="AP11" s="20">
        <f t="shared" si="0"/>
        <v>48</v>
      </c>
      <c r="AQ11" s="4"/>
      <c r="AR11" s="4"/>
    </row>
    <row r="12" spans="1:44" ht="41.25" customHeight="1" x14ac:dyDescent="0.2">
      <c r="A12" s="29">
        <v>9</v>
      </c>
      <c r="B12" s="30">
        <v>45894</v>
      </c>
      <c r="C12" s="29"/>
      <c r="D12" s="29"/>
      <c r="E12" s="31">
        <v>19</v>
      </c>
      <c r="F12" s="29">
        <v>8</v>
      </c>
      <c r="G12" s="29"/>
      <c r="H12" s="31">
        <v>1.5</v>
      </c>
      <c r="I12" s="31">
        <v>11</v>
      </c>
      <c r="J12" s="32"/>
      <c r="K12" s="29">
        <v>2</v>
      </c>
      <c r="L12" s="31">
        <v>29</v>
      </c>
      <c r="N12" s="4"/>
      <c r="O12" s="4"/>
      <c r="P12" s="4"/>
      <c r="Q12" s="4"/>
      <c r="R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L12" s="52" t="s">
        <v>52</v>
      </c>
      <c r="AM12" s="21" t="s">
        <v>50</v>
      </c>
      <c r="AN12" s="21">
        <v>17</v>
      </c>
      <c r="AO12" s="4">
        <v>3</v>
      </c>
      <c r="AP12" s="11">
        <f t="shared" si="0"/>
        <v>51</v>
      </c>
      <c r="AQ12" s="4"/>
      <c r="AR12" s="4"/>
    </row>
    <row r="13" spans="1:44" ht="41.25" customHeight="1" x14ac:dyDescent="0.2">
      <c r="A13" s="29">
        <v>10</v>
      </c>
      <c r="B13" s="30">
        <v>45895</v>
      </c>
      <c r="C13" s="29"/>
      <c r="D13" s="29"/>
      <c r="E13" s="31">
        <v>19</v>
      </c>
      <c r="F13" s="29">
        <v>6</v>
      </c>
      <c r="G13" s="29"/>
      <c r="H13" s="31">
        <v>2</v>
      </c>
      <c r="I13" s="31">
        <v>13</v>
      </c>
      <c r="J13" s="32"/>
      <c r="K13" s="29">
        <v>4</v>
      </c>
      <c r="L13" s="31">
        <v>33</v>
      </c>
      <c r="N13" s="4"/>
      <c r="O13" s="4"/>
      <c r="P13" s="4"/>
      <c r="Q13" s="4"/>
      <c r="R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L13" s="52"/>
      <c r="AM13" s="21" t="s">
        <v>51</v>
      </c>
      <c r="AN13" s="21">
        <v>12</v>
      </c>
      <c r="AO13" s="4">
        <v>3</v>
      </c>
      <c r="AP13" s="11">
        <f t="shared" si="0"/>
        <v>36</v>
      </c>
      <c r="AQ13" s="4"/>
      <c r="AR13" s="4"/>
    </row>
    <row r="14" spans="1:44" ht="41.25" customHeight="1" x14ac:dyDescent="0.2">
      <c r="A14" s="29">
        <v>11</v>
      </c>
      <c r="B14" s="30">
        <v>45896</v>
      </c>
      <c r="C14" s="29"/>
      <c r="D14" s="29"/>
      <c r="E14" s="31">
        <v>19</v>
      </c>
      <c r="F14" s="29">
        <v>4</v>
      </c>
      <c r="G14" s="29"/>
      <c r="H14" s="31">
        <v>2</v>
      </c>
      <c r="I14" s="31">
        <v>15</v>
      </c>
      <c r="J14" s="32"/>
      <c r="K14" s="29">
        <v>3</v>
      </c>
      <c r="L14" s="31">
        <v>36</v>
      </c>
      <c r="N14" s="4"/>
      <c r="O14" s="4"/>
      <c r="P14" s="4"/>
      <c r="Q14" s="4"/>
      <c r="R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L14" s="52"/>
      <c r="AM14" s="21" t="s">
        <v>67</v>
      </c>
      <c r="AN14" s="21">
        <v>500</v>
      </c>
      <c r="AO14" s="4">
        <v>3</v>
      </c>
      <c r="AP14" s="21">
        <f>AN14*AO14</f>
        <v>1500</v>
      </c>
      <c r="AQ14" s="4"/>
      <c r="AR14" s="4"/>
    </row>
    <row r="15" spans="1:44" ht="41.25" customHeight="1" x14ac:dyDescent="0.2">
      <c r="A15" s="29">
        <v>12</v>
      </c>
      <c r="B15" s="30">
        <v>45897</v>
      </c>
      <c r="C15" s="29">
        <v>5</v>
      </c>
      <c r="D15" s="29"/>
      <c r="E15" s="31">
        <v>24</v>
      </c>
      <c r="F15" s="29">
        <v>7</v>
      </c>
      <c r="G15" s="29"/>
      <c r="H15" s="31">
        <v>2</v>
      </c>
      <c r="I15" s="31">
        <v>17</v>
      </c>
      <c r="J15" s="32"/>
      <c r="K15" s="29">
        <v>5</v>
      </c>
      <c r="L15" s="31">
        <v>41</v>
      </c>
      <c r="N15" s="4"/>
      <c r="O15" s="4"/>
      <c r="P15" s="4"/>
      <c r="Q15" s="4"/>
      <c r="R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L15" s="52"/>
      <c r="AM15" s="21" t="s">
        <v>48</v>
      </c>
      <c r="AN15" s="11">
        <v>20</v>
      </c>
      <c r="AO15" s="4">
        <v>3</v>
      </c>
      <c r="AP15" s="11">
        <f>AN15*AO15</f>
        <v>60</v>
      </c>
      <c r="AQ15" s="4"/>
      <c r="AR15" s="4"/>
    </row>
    <row r="16" spans="1:44" ht="41.25" customHeight="1" x14ac:dyDescent="0.2">
      <c r="A16" s="29">
        <v>13</v>
      </c>
      <c r="B16" s="30">
        <v>45898</v>
      </c>
      <c r="C16" s="29"/>
      <c r="D16" s="29"/>
      <c r="E16" s="31">
        <v>24</v>
      </c>
      <c r="F16" s="29">
        <v>5</v>
      </c>
      <c r="G16" s="29"/>
      <c r="H16" s="31">
        <v>2</v>
      </c>
      <c r="I16" s="31">
        <v>19</v>
      </c>
      <c r="J16" s="32"/>
      <c r="K16" s="29">
        <v>9</v>
      </c>
      <c r="L16" s="31">
        <v>50</v>
      </c>
      <c r="N16" s="4"/>
      <c r="O16" s="4"/>
      <c r="P16" s="4"/>
      <c r="Q16" s="4"/>
      <c r="R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L16" s="53">
        <v>10</v>
      </c>
      <c r="AM16" s="21" t="s">
        <v>84</v>
      </c>
      <c r="AN16" s="20">
        <v>85</v>
      </c>
      <c r="AO16" s="4">
        <v>1</v>
      </c>
      <c r="AP16" s="20">
        <f>AN16*AO16</f>
        <v>85</v>
      </c>
      <c r="AQ16" s="4"/>
      <c r="AR16" s="4"/>
    </row>
    <row r="17" spans="1:44" ht="41.25" customHeight="1" x14ac:dyDescent="0.2">
      <c r="A17" s="29">
        <v>14</v>
      </c>
      <c r="B17" s="30">
        <v>45899</v>
      </c>
      <c r="C17" s="29">
        <v>7</v>
      </c>
      <c r="D17" s="29"/>
      <c r="E17" s="31">
        <v>31</v>
      </c>
      <c r="F17" s="29">
        <v>10</v>
      </c>
      <c r="G17" s="29"/>
      <c r="H17" s="31">
        <v>2</v>
      </c>
      <c r="I17" s="31">
        <v>21</v>
      </c>
      <c r="J17" s="32">
        <v>556</v>
      </c>
      <c r="K17" s="29">
        <v>3</v>
      </c>
      <c r="L17" s="31">
        <v>53</v>
      </c>
      <c r="N17" s="4"/>
      <c r="O17" s="4"/>
      <c r="P17" s="4"/>
      <c r="Q17" s="4"/>
      <c r="R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L17" s="53"/>
      <c r="AM17" s="21" t="s">
        <v>85</v>
      </c>
      <c r="AN17" s="25">
        <v>0.5</v>
      </c>
      <c r="AO17" s="4">
        <v>1</v>
      </c>
      <c r="AP17" s="25">
        <f>AN17*AO17</f>
        <v>0.5</v>
      </c>
      <c r="AQ17" s="4"/>
      <c r="AR17" s="4"/>
    </row>
    <row r="18" spans="1:44" ht="41.25" customHeight="1" x14ac:dyDescent="0.2">
      <c r="A18" s="29">
        <v>15</v>
      </c>
      <c r="B18" s="30">
        <v>45900</v>
      </c>
      <c r="C18" s="29"/>
      <c r="D18" s="29"/>
      <c r="E18" s="31">
        <v>31</v>
      </c>
      <c r="F18" s="29">
        <v>6.5</v>
      </c>
      <c r="G18" s="29"/>
      <c r="H18" s="31">
        <v>3.5</v>
      </c>
      <c r="I18" s="31">
        <v>24.5</v>
      </c>
      <c r="J18" s="32"/>
      <c r="K18" s="29">
        <v>4</v>
      </c>
      <c r="L18" s="31">
        <v>57</v>
      </c>
      <c r="N18" s="4"/>
      <c r="O18" s="4"/>
      <c r="P18" s="4"/>
      <c r="Q18" s="4"/>
      <c r="R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L18" s="53"/>
      <c r="AM18" s="21" t="s">
        <v>67</v>
      </c>
      <c r="AN18" s="21">
        <v>1</v>
      </c>
      <c r="AO18" s="4">
        <v>1</v>
      </c>
      <c r="AP18" s="21">
        <f t="shared" ref="AP18:AP26" si="1">AN18*AO18</f>
        <v>1</v>
      </c>
      <c r="AQ18" s="4"/>
      <c r="AR18" s="4"/>
    </row>
    <row r="19" spans="1:44" ht="41.25" customHeight="1" x14ac:dyDescent="0.2">
      <c r="A19" s="29">
        <v>16</v>
      </c>
      <c r="B19" s="30">
        <v>45901</v>
      </c>
      <c r="C19" s="29">
        <v>10</v>
      </c>
      <c r="D19" s="29"/>
      <c r="E19" s="31">
        <v>41</v>
      </c>
      <c r="F19" s="29">
        <v>14</v>
      </c>
      <c r="G19" s="29"/>
      <c r="H19" s="31">
        <v>2.5</v>
      </c>
      <c r="I19" s="31">
        <v>27</v>
      </c>
      <c r="J19" s="32"/>
      <c r="K19" s="29">
        <v>3</v>
      </c>
      <c r="L19" s="31">
        <v>60</v>
      </c>
      <c r="N19" s="4"/>
      <c r="O19" s="4"/>
      <c r="P19" s="4"/>
      <c r="Q19" s="4"/>
      <c r="R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L19" s="53"/>
      <c r="AM19" s="21" t="s">
        <v>48</v>
      </c>
      <c r="AN19" s="11">
        <v>45</v>
      </c>
      <c r="AO19" s="4">
        <v>1</v>
      </c>
      <c r="AP19" s="11">
        <f t="shared" si="1"/>
        <v>45</v>
      </c>
      <c r="AQ19" s="4"/>
      <c r="AR19" s="4"/>
    </row>
    <row r="20" spans="1:44" ht="41.25" customHeight="1" x14ac:dyDescent="0.2">
      <c r="A20" s="29">
        <v>17</v>
      </c>
      <c r="B20" s="30">
        <v>45902</v>
      </c>
      <c r="C20" s="29"/>
      <c r="D20" s="29"/>
      <c r="E20" s="31">
        <v>41</v>
      </c>
      <c r="F20" s="29">
        <v>11</v>
      </c>
      <c r="G20" s="29"/>
      <c r="H20" s="31">
        <v>3</v>
      </c>
      <c r="I20" s="31">
        <v>30</v>
      </c>
      <c r="J20" s="32"/>
      <c r="K20" s="29">
        <v>4</v>
      </c>
      <c r="L20" s="31">
        <v>64</v>
      </c>
      <c r="N20" s="4"/>
      <c r="O20" s="4"/>
      <c r="P20" s="4"/>
      <c r="Q20" s="4"/>
      <c r="R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L20" s="4">
        <v>11</v>
      </c>
      <c r="AM20" s="4" t="s">
        <v>84</v>
      </c>
      <c r="AN20" s="20">
        <v>85</v>
      </c>
      <c r="AO20" s="4">
        <v>1</v>
      </c>
      <c r="AP20" s="20">
        <f t="shared" si="1"/>
        <v>85</v>
      </c>
      <c r="AQ20" s="4"/>
      <c r="AR20" s="4"/>
    </row>
    <row r="21" spans="1:44" ht="41.25" customHeight="1" x14ac:dyDescent="0.2">
      <c r="A21" s="29">
        <v>18</v>
      </c>
      <c r="B21" s="30">
        <v>45903</v>
      </c>
      <c r="C21" s="29"/>
      <c r="D21" s="29"/>
      <c r="E21" s="31">
        <v>41</v>
      </c>
      <c r="F21" s="29">
        <v>8</v>
      </c>
      <c r="G21" s="29"/>
      <c r="H21" s="31">
        <v>3</v>
      </c>
      <c r="I21" s="31">
        <v>33</v>
      </c>
      <c r="J21" s="32"/>
      <c r="K21" s="29">
        <v>4</v>
      </c>
      <c r="L21" s="31">
        <v>68</v>
      </c>
      <c r="N21" s="4"/>
      <c r="O21" s="4"/>
      <c r="P21" s="4"/>
      <c r="Q21" s="4"/>
      <c r="R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L21" s="4"/>
      <c r="AM21" s="4" t="s">
        <v>85</v>
      </c>
      <c r="AN21" s="4">
        <v>0.5</v>
      </c>
      <c r="AO21" s="4">
        <v>1</v>
      </c>
      <c r="AP21" s="4">
        <f t="shared" si="1"/>
        <v>0.5</v>
      </c>
      <c r="AQ21" s="4"/>
      <c r="AR21" s="4"/>
    </row>
    <row r="22" spans="1:44" ht="41.25" customHeight="1" x14ac:dyDescent="0.2">
      <c r="A22" s="29">
        <v>19</v>
      </c>
      <c r="B22" s="30">
        <v>45904</v>
      </c>
      <c r="C22" s="29"/>
      <c r="D22" s="29"/>
      <c r="E22" s="31">
        <v>41</v>
      </c>
      <c r="F22" s="29">
        <v>4.5</v>
      </c>
      <c r="G22" s="29"/>
      <c r="H22" s="31">
        <v>3.5</v>
      </c>
      <c r="I22" s="31">
        <v>36.5</v>
      </c>
      <c r="J22" s="32"/>
      <c r="K22" s="29">
        <v>10</v>
      </c>
      <c r="L22" s="31">
        <v>78</v>
      </c>
      <c r="N22" s="4"/>
      <c r="O22" s="4"/>
      <c r="P22" s="4"/>
      <c r="Q22" s="4"/>
      <c r="R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L22" s="4"/>
      <c r="AM22" s="4" t="s">
        <v>62</v>
      </c>
      <c r="AN22" s="4">
        <v>2</v>
      </c>
      <c r="AO22" s="4">
        <v>1</v>
      </c>
      <c r="AP22" s="4">
        <f t="shared" si="1"/>
        <v>2</v>
      </c>
      <c r="AQ22" s="4"/>
      <c r="AR22" s="4"/>
    </row>
    <row r="23" spans="1:44" ht="41.25" customHeight="1" x14ac:dyDescent="0.2">
      <c r="A23" s="29">
        <v>20</v>
      </c>
      <c r="B23" s="30">
        <v>45905</v>
      </c>
      <c r="C23" s="29">
        <v>10</v>
      </c>
      <c r="D23" s="29"/>
      <c r="E23" s="31">
        <v>51</v>
      </c>
      <c r="F23" s="29">
        <v>11</v>
      </c>
      <c r="G23" s="29"/>
      <c r="H23" s="31">
        <v>3.5</v>
      </c>
      <c r="I23" s="31">
        <v>40</v>
      </c>
      <c r="J23" s="32"/>
      <c r="K23" s="29">
        <v>7</v>
      </c>
      <c r="L23" s="31">
        <v>85</v>
      </c>
      <c r="N23" s="4"/>
      <c r="O23" s="4"/>
      <c r="P23" s="4"/>
      <c r="Q23" s="4"/>
      <c r="R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L23" s="4"/>
      <c r="AM23" s="4" t="s">
        <v>63</v>
      </c>
      <c r="AN23" s="11">
        <v>75</v>
      </c>
      <c r="AO23" s="4">
        <v>1</v>
      </c>
      <c r="AP23" s="11">
        <f t="shared" si="1"/>
        <v>75</v>
      </c>
      <c r="AQ23" s="4"/>
      <c r="AR23" s="4"/>
    </row>
    <row r="24" spans="1:44" ht="41.25" customHeight="1" x14ac:dyDescent="0.2">
      <c r="A24" s="29">
        <v>21</v>
      </c>
      <c r="B24" s="30">
        <v>45906</v>
      </c>
      <c r="C24" s="29"/>
      <c r="D24" s="29"/>
      <c r="E24" s="31">
        <v>51</v>
      </c>
      <c r="F24" s="29">
        <v>7</v>
      </c>
      <c r="G24" s="29"/>
      <c r="H24" s="31">
        <v>4</v>
      </c>
      <c r="I24" s="31">
        <v>44</v>
      </c>
      <c r="J24" s="32"/>
      <c r="K24" s="29">
        <v>3</v>
      </c>
      <c r="L24" s="31">
        <v>88</v>
      </c>
      <c r="N24" s="4"/>
      <c r="O24" s="4"/>
      <c r="P24" s="4"/>
      <c r="Q24" s="4"/>
      <c r="R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L24" s="48">
        <v>12</v>
      </c>
      <c r="AM24" s="4" t="s">
        <v>84</v>
      </c>
      <c r="AN24" s="20">
        <v>100</v>
      </c>
      <c r="AO24" s="4">
        <v>1</v>
      </c>
      <c r="AP24" s="20">
        <f t="shared" si="1"/>
        <v>100</v>
      </c>
      <c r="AQ24" s="4"/>
      <c r="AR24" s="4"/>
    </row>
    <row r="25" spans="1:44" ht="41.25" customHeight="1" x14ac:dyDescent="0.2">
      <c r="A25" s="29">
        <v>22</v>
      </c>
      <c r="B25" s="30">
        <v>45907</v>
      </c>
      <c r="C25" s="29">
        <v>5</v>
      </c>
      <c r="D25" s="29"/>
      <c r="E25" s="31">
        <v>56</v>
      </c>
      <c r="F25" s="29">
        <v>8</v>
      </c>
      <c r="G25" s="29"/>
      <c r="H25" s="31">
        <v>4</v>
      </c>
      <c r="I25" s="31">
        <v>48</v>
      </c>
      <c r="J25" s="32">
        <v>1093</v>
      </c>
      <c r="K25" s="29">
        <v>4</v>
      </c>
      <c r="L25" s="31">
        <v>92</v>
      </c>
      <c r="N25" s="4"/>
      <c r="O25" s="4"/>
      <c r="P25" s="4"/>
      <c r="Q25" s="4"/>
      <c r="R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L25" s="48"/>
      <c r="AM25" s="4" t="s">
        <v>85</v>
      </c>
      <c r="AN25" s="4">
        <v>0.5</v>
      </c>
      <c r="AO25" s="4">
        <v>1</v>
      </c>
      <c r="AP25" s="4">
        <f t="shared" si="1"/>
        <v>0.5</v>
      </c>
      <c r="AQ25" s="4"/>
      <c r="AR25" s="4"/>
    </row>
    <row r="26" spans="1:44" ht="41.25" customHeight="1" x14ac:dyDescent="0.2">
      <c r="A26" s="29">
        <v>23</v>
      </c>
      <c r="B26" s="30">
        <v>45908</v>
      </c>
      <c r="C26" s="29">
        <v>9</v>
      </c>
      <c r="D26" s="29">
        <v>3</v>
      </c>
      <c r="E26" s="31">
        <v>68</v>
      </c>
      <c r="F26" s="29">
        <v>13</v>
      </c>
      <c r="G26" s="29">
        <v>3</v>
      </c>
      <c r="H26" s="31">
        <v>4</v>
      </c>
      <c r="I26" s="31">
        <v>52</v>
      </c>
      <c r="J26" s="32"/>
      <c r="K26" s="29">
        <v>5</v>
      </c>
      <c r="L26" s="31">
        <v>97</v>
      </c>
      <c r="N26" s="4"/>
      <c r="O26" s="4"/>
      <c r="P26" s="4"/>
      <c r="Q26" s="4"/>
      <c r="R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L26" s="48"/>
      <c r="AM26" s="4" t="s">
        <v>67</v>
      </c>
      <c r="AN26" s="21">
        <v>1</v>
      </c>
      <c r="AO26" s="4">
        <v>1</v>
      </c>
      <c r="AP26" s="21">
        <f t="shared" si="1"/>
        <v>1</v>
      </c>
      <c r="AQ26" s="4"/>
      <c r="AR26" s="4"/>
    </row>
    <row r="27" spans="1:44" ht="41.25" customHeight="1" x14ac:dyDescent="0.2">
      <c r="A27" s="29">
        <v>24</v>
      </c>
      <c r="B27" s="30">
        <v>45909</v>
      </c>
      <c r="C27" s="29"/>
      <c r="D27" s="29"/>
      <c r="E27" s="31">
        <v>68</v>
      </c>
      <c r="F27" s="29">
        <v>9</v>
      </c>
      <c r="G27" s="29">
        <v>3</v>
      </c>
      <c r="H27" s="31">
        <v>4</v>
      </c>
      <c r="I27" s="31">
        <v>56</v>
      </c>
      <c r="J27" s="32"/>
      <c r="K27" s="29">
        <v>10</v>
      </c>
      <c r="L27" s="31">
        <v>107</v>
      </c>
      <c r="N27" s="4"/>
      <c r="O27" s="4"/>
      <c r="P27" s="4"/>
      <c r="Q27" s="4"/>
      <c r="R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L27" s="48"/>
      <c r="AM27" s="11" t="s">
        <v>48</v>
      </c>
      <c r="AN27" s="11">
        <v>50</v>
      </c>
      <c r="AO27" s="4">
        <v>1</v>
      </c>
      <c r="AP27" s="11">
        <f>AN27*AO27</f>
        <v>50</v>
      </c>
      <c r="AQ27" s="4"/>
      <c r="AR27" s="4"/>
    </row>
    <row r="28" spans="1:44" ht="41.25" customHeight="1" x14ac:dyDescent="0.2">
      <c r="A28" s="29">
        <v>25</v>
      </c>
      <c r="B28" s="30">
        <v>45910</v>
      </c>
      <c r="C28" s="29">
        <v>6</v>
      </c>
      <c r="D28" s="29">
        <v>3</v>
      </c>
      <c r="E28" s="31">
        <v>77</v>
      </c>
      <c r="F28" s="29">
        <v>12</v>
      </c>
      <c r="G28" s="29">
        <v>5</v>
      </c>
      <c r="H28" s="31">
        <v>4</v>
      </c>
      <c r="I28" s="31">
        <v>60</v>
      </c>
      <c r="J28" s="32"/>
      <c r="K28" s="29">
        <v>7</v>
      </c>
      <c r="L28" s="31">
        <v>114</v>
      </c>
      <c r="N28" s="4"/>
      <c r="O28" s="4"/>
      <c r="P28" s="4"/>
      <c r="Q28" s="4"/>
      <c r="R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L28" s="48" t="s">
        <v>107</v>
      </c>
      <c r="AM28" s="4" t="s">
        <v>67</v>
      </c>
      <c r="AN28" s="21">
        <v>1</v>
      </c>
      <c r="AO28" s="4">
        <v>3</v>
      </c>
      <c r="AP28" s="21">
        <f>AN28*AO28</f>
        <v>3</v>
      </c>
      <c r="AQ28" s="4"/>
      <c r="AR28" s="4"/>
    </row>
    <row r="29" spans="1:44" ht="41.25" customHeight="1" x14ac:dyDescent="0.2">
      <c r="A29" s="29">
        <v>26</v>
      </c>
      <c r="B29" s="30">
        <v>45911</v>
      </c>
      <c r="C29" s="29"/>
      <c r="D29" s="29"/>
      <c r="E29" s="31">
        <v>77</v>
      </c>
      <c r="F29" s="29">
        <v>9</v>
      </c>
      <c r="G29" s="29">
        <v>4</v>
      </c>
      <c r="H29" s="31">
        <v>4</v>
      </c>
      <c r="I29" s="31">
        <v>64</v>
      </c>
      <c r="J29" s="32"/>
      <c r="K29" s="29">
        <v>7</v>
      </c>
      <c r="L29" s="31">
        <v>121</v>
      </c>
      <c r="N29" s="4"/>
      <c r="O29" s="4"/>
      <c r="P29" s="4"/>
      <c r="Q29" s="4"/>
      <c r="R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L29" s="48"/>
      <c r="AM29" s="4" t="s">
        <v>48</v>
      </c>
      <c r="AN29" s="11">
        <v>50</v>
      </c>
      <c r="AO29" s="4">
        <v>3</v>
      </c>
      <c r="AP29" s="11">
        <f>AN29*AO29</f>
        <v>150</v>
      </c>
      <c r="AQ29" s="4"/>
      <c r="AR29" s="4"/>
    </row>
    <row r="30" spans="1:44" ht="41.25" customHeight="1" x14ac:dyDescent="0.2">
      <c r="A30" s="29">
        <v>27</v>
      </c>
      <c r="B30" s="30">
        <v>45912</v>
      </c>
      <c r="C30" s="29"/>
      <c r="D30" s="29"/>
      <c r="E30" s="31">
        <v>77</v>
      </c>
      <c r="F30" s="29">
        <v>6</v>
      </c>
      <c r="G30" s="29">
        <v>3</v>
      </c>
      <c r="H30" s="31">
        <v>4</v>
      </c>
      <c r="I30" s="31">
        <v>68</v>
      </c>
      <c r="J30" s="32"/>
      <c r="K30" s="29">
        <v>3</v>
      </c>
      <c r="L30" s="31">
        <v>124</v>
      </c>
      <c r="N30" s="4"/>
      <c r="O30" s="4"/>
      <c r="P30" s="4"/>
      <c r="Q30" s="4"/>
      <c r="R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L30" s="48">
        <v>18</v>
      </c>
      <c r="AM30" s="4" t="s">
        <v>84</v>
      </c>
      <c r="AN30" s="20">
        <v>120</v>
      </c>
      <c r="AO30" s="4">
        <v>1</v>
      </c>
      <c r="AP30" s="20">
        <f>AN30*AO30</f>
        <v>120</v>
      </c>
      <c r="AQ30" s="4"/>
      <c r="AR30" s="4"/>
    </row>
    <row r="31" spans="1:44" ht="41.25" customHeight="1" x14ac:dyDescent="0.2">
      <c r="A31" s="29">
        <v>28</v>
      </c>
      <c r="B31" s="30">
        <v>45913</v>
      </c>
      <c r="C31" s="29"/>
      <c r="D31" s="29"/>
      <c r="E31" s="31">
        <v>77</v>
      </c>
      <c r="F31" s="29">
        <v>2</v>
      </c>
      <c r="G31" s="29">
        <v>2</v>
      </c>
      <c r="H31" s="31">
        <v>5</v>
      </c>
      <c r="I31" s="31">
        <v>73</v>
      </c>
      <c r="J31" s="32"/>
      <c r="K31" s="29">
        <v>4</v>
      </c>
      <c r="L31" s="31">
        <v>128</v>
      </c>
      <c r="N31" s="4"/>
      <c r="O31" s="4"/>
      <c r="P31" s="4"/>
      <c r="Q31" s="4"/>
      <c r="R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L31" s="48"/>
      <c r="AM31" s="4" t="s">
        <v>85</v>
      </c>
      <c r="AN31" s="4">
        <v>1</v>
      </c>
      <c r="AO31" s="4">
        <v>1</v>
      </c>
      <c r="AP31" s="4">
        <f t="shared" ref="AP31:AP32" si="2">AN31*AO31</f>
        <v>1</v>
      </c>
      <c r="AQ31" s="4"/>
      <c r="AR31" s="4"/>
    </row>
    <row r="32" spans="1:44" ht="41.25" customHeight="1" x14ac:dyDescent="0.2">
      <c r="A32" s="29">
        <v>29</v>
      </c>
      <c r="B32" s="30">
        <v>45914</v>
      </c>
      <c r="C32" s="29">
        <v>5</v>
      </c>
      <c r="D32" s="29"/>
      <c r="E32" s="31">
        <v>82</v>
      </c>
      <c r="F32" s="29">
        <v>5</v>
      </c>
      <c r="G32" s="29"/>
      <c r="H32" s="31">
        <v>4</v>
      </c>
      <c r="I32" s="31">
        <v>77</v>
      </c>
      <c r="J32" s="32"/>
      <c r="K32" s="29">
        <v>6</v>
      </c>
      <c r="L32" s="31">
        <v>134</v>
      </c>
      <c r="N32" s="4"/>
      <c r="O32" s="4"/>
      <c r="P32" s="4"/>
      <c r="Q32" s="4"/>
      <c r="R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L32" s="48"/>
      <c r="AM32" s="4" t="s">
        <v>69</v>
      </c>
      <c r="AN32" s="4">
        <v>2</v>
      </c>
      <c r="AO32" s="4">
        <v>1</v>
      </c>
      <c r="AP32" s="4">
        <f t="shared" si="2"/>
        <v>2</v>
      </c>
      <c r="AQ32" s="4"/>
      <c r="AR32" s="4"/>
    </row>
    <row r="33" spans="1:44" ht="41.25" customHeight="1" x14ac:dyDescent="0.2">
      <c r="A33" s="29">
        <v>30</v>
      </c>
      <c r="B33" s="30">
        <v>45915</v>
      </c>
      <c r="C33" s="29">
        <v>9</v>
      </c>
      <c r="D33" s="29"/>
      <c r="E33" s="31">
        <v>91</v>
      </c>
      <c r="F33" s="29">
        <v>9</v>
      </c>
      <c r="G33" s="29"/>
      <c r="H33" s="31">
        <v>5</v>
      </c>
      <c r="I33" s="31">
        <v>82</v>
      </c>
      <c r="J33" s="32"/>
      <c r="K33" s="29">
        <v>3</v>
      </c>
      <c r="L33" s="31">
        <v>137</v>
      </c>
      <c r="N33" s="4"/>
      <c r="O33" s="4"/>
      <c r="P33" s="4"/>
      <c r="Q33" s="4"/>
      <c r="R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L33" s="48"/>
      <c r="AM33" s="4" t="s">
        <v>63</v>
      </c>
      <c r="AN33" s="11">
        <v>130</v>
      </c>
      <c r="AO33" s="4">
        <v>1</v>
      </c>
      <c r="AP33" s="11">
        <f>AN33*AO33</f>
        <v>130</v>
      </c>
      <c r="AQ33" s="4"/>
      <c r="AR33" s="4"/>
    </row>
    <row r="34" spans="1:44" ht="41.25" customHeight="1" x14ac:dyDescent="0.2">
      <c r="A34" s="29">
        <v>31</v>
      </c>
      <c r="B34" s="30">
        <v>45916</v>
      </c>
      <c r="C34" s="29">
        <v>10</v>
      </c>
      <c r="D34" s="29"/>
      <c r="E34" s="31">
        <v>101</v>
      </c>
      <c r="F34" s="29">
        <v>14</v>
      </c>
      <c r="G34" s="29"/>
      <c r="H34" s="31">
        <v>5</v>
      </c>
      <c r="I34" s="31">
        <v>87</v>
      </c>
      <c r="J34" s="32"/>
      <c r="K34" s="29">
        <v>4</v>
      </c>
      <c r="L34" s="31">
        <v>141</v>
      </c>
      <c r="N34" s="4"/>
      <c r="O34" s="4"/>
      <c r="P34" s="4"/>
      <c r="Q34" s="4"/>
      <c r="R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L34" s="42" t="s">
        <v>86</v>
      </c>
      <c r="AM34" s="20" t="s">
        <v>61</v>
      </c>
      <c r="AN34" s="20">
        <v>40</v>
      </c>
      <c r="AO34" s="4">
        <v>3</v>
      </c>
      <c r="AP34" s="20">
        <f>AN34*AO34</f>
        <v>120</v>
      </c>
      <c r="AQ34" s="4"/>
      <c r="AR34" s="4"/>
    </row>
    <row r="35" spans="1:44" ht="41.25" customHeight="1" x14ac:dyDescent="0.2">
      <c r="A35" s="29">
        <v>32</v>
      </c>
      <c r="B35" s="30">
        <v>45917</v>
      </c>
      <c r="C35" s="29"/>
      <c r="D35" s="29"/>
      <c r="E35" s="31">
        <v>101</v>
      </c>
      <c r="F35" s="29">
        <v>9</v>
      </c>
      <c r="G35" s="29"/>
      <c r="H35" s="31">
        <v>5</v>
      </c>
      <c r="I35" s="31">
        <v>92</v>
      </c>
      <c r="J35" s="32"/>
      <c r="K35" s="29">
        <v>1</v>
      </c>
      <c r="L35" s="31">
        <v>142</v>
      </c>
      <c r="N35" s="4"/>
      <c r="O35" s="4"/>
      <c r="P35" s="4"/>
      <c r="Q35" s="4"/>
      <c r="R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L35" s="44"/>
      <c r="AM35" s="4" t="s">
        <v>70</v>
      </c>
      <c r="AN35" s="20">
        <v>130</v>
      </c>
      <c r="AO35" s="4">
        <v>3</v>
      </c>
      <c r="AP35" s="20">
        <f t="shared" ref="AP35:AP40" si="3">AN35*AO35</f>
        <v>390</v>
      </c>
      <c r="AQ35" s="4"/>
      <c r="AR35" s="4"/>
    </row>
    <row r="36" spans="1:44" ht="41.25" customHeight="1" x14ac:dyDescent="0.2">
      <c r="A36" s="29">
        <v>33</v>
      </c>
      <c r="B36" s="30">
        <v>45918</v>
      </c>
      <c r="C36" s="29">
        <v>10</v>
      </c>
      <c r="D36" s="29"/>
      <c r="E36" s="31">
        <v>111</v>
      </c>
      <c r="F36" s="29">
        <v>14</v>
      </c>
      <c r="G36" s="29"/>
      <c r="H36" s="31">
        <v>5</v>
      </c>
      <c r="I36" s="31">
        <v>97</v>
      </c>
      <c r="J36" s="32"/>
      <c r="K36" s="29">
        <v>3</v>
      </c>
      <c r="L36" s="31">
        <v>145</v>
      </c>
      <c r="N36" s="4"/>
      <c r="O36" s="4"/>
      <c r="P36" s="4"/>
      <c r="Q36" s="4"/>
      <c r="R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L36" s="42" t="s">
        <v>71</v>
      </c>
      <c r="AM36" s="4" t="s">
        <v>97</v>
      </c>
      <c r="AN36" s="20">
        <v>80</v>
      </c>
      <c r="AO36" s="4">
        <v>3</v>
      </c>
      <c r="AP36" s="20">
        <f t="shared" si="3"/>
        <v>240</v>
      </c>
      <c r="AQ36" s="4"/>
      <c r="AR36" s="4"/>
    </row>
    <row r="37" spans="1:44" ht="41.25" customHeight="1" x14ac:dyDescent="0.2">
      <c r="A37" s="29">
        <v>34</v>
      </c>
      <c r="B37" s="30">
        <v>45919</v>
      </c>
      <c r="C37" s="29"/>
      <c r="D37" s="29"/>
      <c r="E37" s="31">
        <v>111</v>
      </c>
      <c r="F37" s="29">
        <v>8.5</v>
      </c>
      <c r="G37" s="29"/>
      <c r="H37" s="31">
        <v>5.5</v>
      </c>
      <c r="I37" s="31">
        <v>102.5</v>
      </c>
      <c r="J37" s="32"/>
      <c r="K37" s="29">
        <v>5</v>
      </c>
      <c r="L37" s="31">
        <v>150</v>
      </c>
      <c r="N37" s="4"/>
      <c r="O37" s="4"/>
      <c r="P37" s="4"/>
      <c r="Q37" s="4"/>
      <c r="R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L37" s="43"/>
      <c r="AM37" s="4" t="s">
        <v>67</v>
      </c>
      <c r="AN37" s="21">
        <v>1</v>
      </c>
      <c r="AO37" s="4">
        <v>3</v>
      </c>
      <c r="AP37" s="21">
        <f t="shared" si="3"/>
        <v>3</v>
      </c>
      <c r="AQ37" s="4"/>
      <c r="AR37" s="4"/>
    </row>
    <row r="38" spans="1:44" ht="41.25" customHeight="1" x14ac:dyDescent="0.2">
      <c r="A38" s="29">
        <v>35</v>
      </c>
      <c r="B38" s="30">
        <v>45920</v>
      </c>
      <c r="C38" s="29"/>
      <c r="D38" s="29"/>
      <c r="E38" s="31">
        <v>111</v>
      </c>
      <c r="F38" s="29">
        <v>3</v>
      </c>
      <c r="G38" s="29"/>
      <c r="H38" s="31">
        <v>5.5</v>
      </c>
      <c r="I38" s="31">
        <v>108</v>
      </c>
      <c r="J38" s="32"/>
      <c r="K38" s="29">
        <v>4</v>
      </c>
      <c r="L38" s="31">
        <v>154</v>
      </c>
      <c r="N38" s="4"/>
      <c r="O38" s="4"/>
      <c r="P38" s="4"/>
      <c r="Q38" s="4"/>
      <c r="R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L38" s="44"/>
      <c r="AM38" s="4" t="s">
        <v>48</v>
      </c>
      <c r="AN38" s="11">
        <v>100</v>
      </c>
      <c r="AO38" s="4">
        <v>3</v>
      </c>
      <c r="AP38" s="11">
        <f t="shared" si="3"/>
        <v>300</v>
      </c>
      <c r="AQ38" s="4"/>
      <c r="AR38" s="4"/>
    </row>
    <row r="39" spans="1:44" ht="41.25" customHeight="1" x14ac:dyDescent="0.2">
      <c r="A39" s="4">
        <v>36</v>
      </c>
      <c r="B39" s="33">
        <v>45921</v>
      </c>
      <c r="C39" s="4">
        <v>10</v>
      </c>
      <c r="D39" s="4"/>
      <c r="E39" s="4">
        <v>121</v>
      </c>
      <c r="F39" s="4">
        <v>9</v>
      </c>
      <c r="G39" s="4"/>
      <c r="H39" s="4">
        <f>I39-I38</f>
        <v>4</v>
      </c>
      <c r="I39" s="4">
        <f>E39-F39-G39</f>
        <v>112</v>
      </c>
      <c r="J39" s="4"/>
      <c r="K39" s="4"/>
      <c r="L39" s="4">
        <f>L38+K39</f>
        <v>154</v>
      </c>
      <c r="M39" s="3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7"/>
      <c r="Z39" s="4"/>
      <c r="AA39" s="4"/>
      <c r="AB39" s="4"/>
      <c r="AC39" s="4"/>
      <c r="AD39" s="4"/>
      <c r="AE39" s="4"/>
      <c r="AF39" s="4"/>
      <c r="AL39" s="1" t="s">
        <v>73</v>
      </c>
      <c r="AM39" s="1" t="s">
        <v>47</v>
      </c>
      <c r="AN39" s="20">
        <v>240</v>
      </c>
      <c r="AO39" s="1">
        <v>3</v>
      </c>
      <c r="AP39" s="20">
        <f t="shared" si="3"/>
        <v>720</v>
      </c>
    </row>
    <row r="40" spans="1:44" ht="41.25" customHeight="1" x14ac:dyDescent="0.2">
      <c r="A40" s="29">
        <v>37</v>
      </c>
      <c r="B40" s="30">
        <v>45922</v>
      </c>
      <c r="C40" s="29"/>
      <c r="D40" s="29"/>
      <c r="E40" s="31">
        <f>E39+C40+D40</f>
        <v>121</v>
      </c>
      <c r="F40" s="29">
        <v>4.5</v>
      </c>
      <c r="G40" s="29"/>
      <c r="H40" s="4">
        <f t="shared" ref="H40:H55" si="4">I40-I39</f>
        <v>4.5</v>
      </c>
      <c r="I40" s="4">
        <f t="shared" ref="I40:I55" si="5">E40-F40-G40</f>
        <v>116.5</v>
      </c>
      <c r="J40" s="32"/>
      <c r="K40" s="29">
        <v>3</v>
      </c>
      <c r="L40" s="4">
        <f t="shared" ref="L40:L55" si="6">L39+K40</f>
        <v>157</v>
      </c>
      <c r="N40" s="4"/>
      <c r="O40" s="4"/>
      <c r="P40" s="4"/>
      <c r="Q40" s="4"/>
      <c r="R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L40" s="4" t="s">
        <v>118</v>
      </c>
      <c r="AM40" s="4" t="s">
        <v>72</v>
      </c>
      <c r="AN40" s="20">
        <v>200</v>
      </c>
      <c r="AO40" s="4">
        <v>3</v>
      </c>
      <c r="AP40" s="20">
        <f t="shared" si="3"/>
        <v>600</v>
      </c>
      <c r="AQ40" s="4"/>
      <c r="AR40" s="4"/>
    </row>
    <row r="41" spans="1:44" ht="41.25" customHeight="1" x14ac:dyDescent="0.2">
      <c r="A41" s="29">
        <v>38</v>
      </c>
      <c r="B41" s="30">
        <v>45923</v>
      </c>
      <c r="C41" s="29">
        <v>13</v>
      </c>
      <c r="D41" s="29"/>
      <c r="E41" s="31">
        <f t="shared" ref="E41:E55" si="7">E40+C41+D41</f>
        <v>134</v>
      </c>
      <c r="F41" s="29">
        <v>13</v>
      </c>
      <c r="G41" s="29"/>
      <c r="H41" s="4">
        <f t="shared" si="4"/>
        <v>4.5</v>
      </c>
      <c r="I41" s="4">
        <f t="shared" si="5"/>
        <v>121</v>
      </c>
      <c r="J41" s="32"/>
      <c r="K41" s="29">
        <v>2</v>
      </c>
      <c r="L41" s="4">
        <f t="shared" si="6"/>
        <v>159</v>
      </c>
      <c r="N41" s="4"/>
      <c r="O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L41" s="4"/>
      <c r="AM41" s="4"/>
      <c r="AN41" s="4"/>
      <c r="AO41" s="4"/>
      <c r="AP41" s="4"/>
      <c r="AQ41" s="4"/>
      <c r="AR41" s="4"/>
    </row>
    <row r="42" spans="1:44" ht="41.25" customHeight="1" x14ac:dyDescent="0.2">
      <c r="A42" s="29">
        <v>39</v>
      </c>
      <c r="B42" s="30">
        <v>45924</v>
      </c>
      <c r="C42" s="29"/>
      <c r="D42" s="29"/>
      <c r="E42" s="31">
        <f t="shared" si="7"/>
        <v>134</v>
      </c>
      <c r="F42" s="29">
        <v>8</v>
      </c>
      <c r="G42" s="29"/>
      <c r="H42" s="4">
        <f t="shared" si="4"/>
        <v>5</v>
      </c>
      <c r="I42" s="4">
        <f t="shared" si="5"/>
        <v>126</v>
      </c>
      <c r="J42" s="32"/>
      <c r="K42" s="29">
        <v>2</v>
      </c>
      <c r="L42" s="4">
        <f t="shared" si="6"/>
        <v>161</v>
      </c>
      <c r="N42" s="4"/>
      <c r="O42" s="4"/>
      <c r="P42" s="4"/>
      <c r="Q42" s="4"/>
      <c r="R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L42" s="4"/>
      <c r="AM42" s="4"/>
      <c r="AN42" s="4"/>
      <c r="AO42" s="4"/>
      <c r="AP42" s="4"/>
      <c r="AQ42" s="4"/>
      <c r="AR42" s="4"/>
    </row>
    <row r="43" spans="1:44" ht="41.25" customHeight="1" x14ac:dyDescent="0.2">
      <c r="A43" s="29">
        <v>40</v>
      </c>
      <c r="B43" s="30">
        <v>45925</v>
      </c>
      <c r="C43" s="29">
        <v>5</v>
      </c>
      <c r="D43" s="29"/>
      <c r="E43" s="31">
        <f t="shared" si="7"/>
        <v>139</v>
      </c>
      <c r="F43" s="29">
        <v>8</v>
      </c>
      <c r="G43" s="29"/>
      <c r="H43" s="4">
        <f t="shared" si="4"/>
        <v>5</v>
      </c>
      <c r="I43" s="4">
        <f t="shared" si="5"/>
        <v>131</v>
      </c>
      <c r="J43" s="32"/>
      <c r="K43" s="29">
        <v>2</v>
      </c>
      <c r="L43" s="4">
        <f t="shared" si="6"/>
        <v>163</v>
      </c>
      <c r="N43" s="4"/>
      <c r="O43" s="4"/>
      <c r="P43" s="4"/>
      <c r="Q43" s="4"/>
      <c r="R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L43" s="4"/>
      <c r="AM43" s="4"/>
      <c r="AN43" s="4"/>
      <c r="AO43" s="4"/>
      <c r="AP43" s="4"/>
      <c r="AQ43" s="4"/>
      <c r="AR43" s="4"/>
    </row>
    <row r="44" spans="1:44" ht="41.25" customHeight="1" x14ac:dyDescent="0.2">
      <c r="A44" s="29">
        <v>41</v>
      </c>
      <c r="B44" s="30">
        <v>45926</v>
      </c>
      <c r="C44" s="29">
        <v>8</v>
      </c>
      <c r="D44" s="29"/>
      <c r="E44" s="31">
        <f t="shared" si="7"/>
        <v>147</v>
      </c>
      <c r="F44" s="29">
        <v>12</v>
      </c>
      <c r="G44" s="29"/>
      <c r="H44" s="4">
        <f t="shared" si="4"/>
        <v>4</v>
      </c>
      <c r="I44" s="4">
        <f t="shared" si="5"/>
        <v>135</v>
      </c>
      <c r="J44" s="32"/>
      <c r="K44" s="29"/>
      <c r="L44" s="4">
        <f t="shared" si="6"/>
        <v>163</v>
      </c>
      <c r="N44" s="4"/>
      <c r="O44" s="4"/>
      <c r="P44" s="4"/>
      <c r="Q44" s="4"/>
      <c r="R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L44" s="4"/>
      <c r="AM44" s="4"/>
      <c r="AN44" s="4"/>
      <c r="AO44" s="4"/>
      <c r="AP44" s="4"/>
      <c r="AQ44" s="4"/>
      <c r="AR44" s="4"/>
    </row>
    <row r="45" spans="1:44" ht="41.25" customHeight="1" x14ac:dyDescent="0.2">
      <c r="A45" s="29">
        <v>42</v>
      </c>
      <c r="B45" s="30">
        <v>45927</v>
      </c>
      <c r="C45" s="29"/>
      <c r="D45" s="29"/>
      <c r="E45" s="31">
        <f t="shared" si="7"/>
        <v>147</v>
      </c>
      <c r="F45" s="29"/>
      <c r="G45" s="29"/>
      <c r="H45" s="4">
        <f t="shared" si="4"/>
        <v>12</v>
      </c>
      <c r="I45" s="4">
        <f t="shared" si="5"/>
        <v>147</v>
      </c>
      <c r="J45" s="32"/>
      <c r="K45" s="29"/>
      <c r="L45" s="4">
        <f t="shared" si="6"/>
        <v>163</v>
      </c>
      <c r="N45" s="4"/>
      <c r="O45" s="4"/>
      <c r="P45" s="4"/>
      <c r="Q45" s="4"/>
      <c r="R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L45" s="4"/>
      <c r="AM45" s="4"/>
      <c r="AN45" s="4"/>
      <c r="AO45" s="4"/>
      <c r="AP45" s="4"/>
      <c r="AQ45" s="4"/>
      <c r="AR45" s="4"/>
    </row>
    <row r="46" spans="1:44" ht="41.25" customHeight="1" x14ac:dyDescent="0.2">
      <c r="A46" s="29">
        <v>43</v>
      </c>
      <c r="B46" s="30">
        <v>45928</v>
      </c>
      <c r="C46" s="29"/>
      <c r="D46" s="29"/>
      <c r="E46" s="31">
        <f t="shared" si="7"/>
        <v>147</v>
      </c>
      <c r="F46" s="29"/>
      <c r="G46" s="29"/>
      <c r="H46" s="4">
        <f t="shared" si="4"/>
        <v>0</v>
      </c>
      <c r="I46" s="4">
        <f t="shared" si="5"/>
        <v>147</v>
      </c>
      <c r="J46" s="32"/>
      <c r="K46" s="29"/>
      <c r="L46" s="4">
        <f t="shared" si="6"/>
        <v>163</v>
      </c>
      <c r="N46" s="4"/>
      <c r="O46" s="4"/>
      <c r="P46" s="4"/>
      <c r="Q46" s="4"/>
      <c r="R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L46" s="4"/>
      <c r="AM46" s="4"/>
      <c r="AN46" s="4"/>
      <c r="AO46" s="4"/>
      <c r="AP46" s="4"/>
      <c r="AQ46" s="4"/>
      <c r="AR46" s="4"/>
    </row>
    <row r="47" spans="1:44" ht="41.25" customHeight="1" x14ac:dyDescent="0.2">
      <c r="A47" s="29">
        <v>44</v>
      </c>
      <c r="B47" s="30">
        <v>45929</v>
      </c>
      <c r="C47" s="29"/>
      <c r="D47" s="29"/>
      <c r="E47" s="31">
        <f t="shared" si="7"/>
        <v>147</v>
      </c>
      <c r="F47" s="29"/>
      <c r="G47" s="29"/>
      <c r="H47" s="4">
        <f t="shared" si="4"/>
        <v>0</v>
      </c>
      <c r="I47" s="4">
        <f t="shared" si="5"/>
        <v>147</v>
      </c>
      <c r="J47" s="32"/>
      <c r="K47" s="29"/>
      <c r="L47" s="4">
        <f t="shared" si="6"/>
        <v>163</v>
      </c>
      <c r="N47" s="4"/>
      <c r="O47" s="4"/>
      <c r="P47" s="4"/>
      <c r="Q47" s="4"/>
      <c r="R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L47" s="4"/>
      <c r="AM47" s="4"/>
      <c r="AN47" s="4"/>
      <c r="AO47" s="4"/>
      <c r="AP47" s="4"/>
      <c r="AQ47" s="4"/>
      <c r="AR47" s="4"/>
    </row>
    <row r="48" spans="1:44" ht="41.25" customHeight="1" x14ac:dyDescent="0.2">
      <c r="A48" s="29">
        <v>45</v>
      </c>
      <c r="B48" s="30">
        <v>45930</v>
      </c>
      <c r="C48" s="29"/>
      <c r="D48" s="29"/>
      <c r="E48" s="31">
        <f t="shared" si="7"/>
        <v>147</v>
      </c>
      <c r="F48" s="29"/>
      <c r="G48" s="29"/>
      <c r="H48" s="4">
        <f t="shared" si="4"/>
        <v>0</v>
      </c>
      <c r="I48" s="4">
        <f t="shared" si="5"/>
        <v>147</v>
      </c>
      <c r="J48" s="32"/>
      <c r="K48" s="29"/>
      <c r="L48" s="4">
        <f t="shared" si="6"/>
        <v>163</v>
      </c>
      <c r="N48" s="4"/>
      <c r="O48" s="4"/>
      <c r="P48" s="4"/>
      <c r="Q48" s="4"/>
      <c r="R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L48" s="4"/>
      <c r="AM48" s="4"/>
      <c r="AN48" s="4"/>
      <c r="AO48" s="4"/>
      <c r="AP48" s="4"/>
      <c r="AQ48" s="4"/>
      <c r="AR48" s="4"/>
    </row>
    <row r="49" spans="1:44" ht="41.25" customHeight="1" x14ac:dyDescent="0.2">
      <c r="A49" s="29">
        <v>46</v>
      </c>
      <c r="B49" s="30">
        <v>45931</v>
      </c>
      <c r="C49" s="29"/>
      <c r="D49" s="29"/>
      <c r="E49" s="31">
        <f t="shared" si="7"/>
        <v>147</v>
      </c>
      <c r="F49" s="29"/>
      <c r="G49" s="29"/>
      <c r="H49" s="4">
        <f t="shared" si="4"/>
        <v>0</v>
      </c>
      <c r="I49" s="4">
        <f t="shared" si="5"/>
        <v>147</v>
      </c>
      <c r="J49" s="32"/>
      <c r="K49" s="29"/>
      <c r="L49" s="4">
        <f t="shared" si="6"/>
        <v>163</v>
      </c>
      <c r="N49" s="4"/>
      <c r="O49" s="4"/>
      <c r="P49" s="4"/>
      <c r="Q49" s="4"/>
      <c r="R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L49" s="4"/>
      <c r="AM49" s="4"/>
      <c r="AN49" s="4"/>
      <c r="AO49" s="4"/>
      <c r="AP49" s="4"/>
      <c r="AQ49" s="4"/>
      <c r="AR49" s="4"/>
    </row>
    <row r="50" spans="1:44" ht="41.25" customHeight="1" x14ac:dyDescent="0.2">
      <c r="A50" s="29">
        <v>47</v>
      </c>
      <c r="B50" s="30">
        <v>45932</v>
      </c>
      <c r="C50" s="29"/>
      <c r="D50" s="29"/>
      <c r="E50" s="31">
        <f t="shared" si="7"/>
        <v>147</v>
      </c>
      <c r="F50" s="29"/>
      <c r="G50" s="29"/>
      <c r="H50" s="4">
        <f t="shared" si="4"/>
        <v>0</v>
      </c>
      <c r="I50" s="4">
        <f t="shared" si="5"/>
        <v>147</v>
      </c>
      <c r="J50" s="32"/>
      <c r="K50" s="29"/>
      <c r="L50" s="4">
        <f t="shared" si="6"/>
        <v>163</v>
      </c>
      <c r="N50" s="4"/>
      <c r="O50" s="4"/>
      <c r="P50" s="4"/>
      <c r="Q50" s="4"/>
      <c r="R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L50" s="4"/>
      <c r="AM50" s="4"/>
      <c r="AN50" s="4"/>
      <c r="AO50" s="4"/>
      <c r="AP50" s="4"/>
      <c r="AQ50" s="4"/>
      <c r="AR50" s="4"/>
    </row>
    <row r="51" spans="1:44" ht="41.25" customHeight="1" x14ac:dyDescent="0.2">
      <c r="A51" s="29">
        <v>48</v>
      </c>
      <c r="B51" s="30">
        <v>45933</v>
      </c>
      <c r="C51" s="29"/>
      <c r="D51" s="29"/>
      <c r="E51" s="31">
        <f t="shared" si="7"/>
        <v>147</v>
      </c>
      <c r="F51" s="29"/>
      <c r="G51" s="29"/>
      <c r="H51" s="4">
        <f t="shared" si="4"/>
        <v>0</v>
      </c>
      <c r="I51" s="4">
        <f t="shared" si="5"/>
        <v>147</v>
      </c>
      <c r="J51" s="32"/>
      <c r="K51" s="29"/>
      <c r="L51" s="4">
        <f t="shared" si="6"/>
        <v>163</v>
      </c>
      <c r="N51" s="4"/>
      <c r="O51" s="4"/>
      <c r="P51" s="4"/>
      <c r="Q51" s="4"/>
      <c r="R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L51" s="4"/>
      <c r="AM51" s="4"/>
      <c r="AN51" s="4"/>
      <c r="AO51" s="4"/>
      <c r="AP51" s="4"/>
      <c r="AQ51" s="4"/>
      <c r="AR51" s="4"/>
    </row>
    <row r="52" spans="1:44" ht="41.25" customHeight="1" x14ac:dyDescent="0.2">
      <c r="A52" s="29">
        <v>49</v>
      </c>
      <c r="B52" s="30">
        <v>45934</v>
      </c>
      <c r="C52" s="29"/>
      <c r="D52" s="29"/>
      <c r="E52" s="31">
        <f t="shared" si="7"/>
        <v>147</v>
      </c>
      <c r="F52" s="29"/>
      <c r="G52" s="29"/>
      <c r="H52" s="4">
        <f t="shared" si="4"/>
        <v>0</v>
      </c>
      <c r="I52" s="4">
        <f t="shared" si="5"/>
        <v>147</v>
      </c>
      <c r="J52" s="32"/>
      <c r="K52" s="29"/>
      <c r="L52" s="4">
        <f t="shared" si="6"/>
        <v>163</v>
      </c>
      <c r="N52" s="4"/>
      <c r="O52" s="4"/>
      <c r="P52" s="4"/>
      <c r="Q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L52" s="4"/>
      <c r="AM52" s="4"/>
      <c r="AN52" s="4"/>
      <c r="AO52" s="4"/>
      <c r="AP52" s="4"/>
      <c r="AQ52" s="4"/>
    </row>
    <row r="53" spans="1:44" ht="41.25" customHeight="1" x14ac:dyDescent="0.2">
      <c r="A53" s="29">
        <v>50</v>
      </c>
      <c r="B53" s="30">
        <v>45935</v>
      </c>
      <c r="C53" s="29"/>
      <c r="D53" s="29"/>
      <c r="E53" s="31">
        <f t="shared" si="7"/>
        <v>147</v>
      </c>
      <c r="F53" s="29"/>
      <c r="G53" s="29"/>
      <c r="H53" s="4">
        <f t="shared" si="4"/>
        <v>0</v>
      </c>
      <c r="I53" s="4">
        <f t="shared" si="5"/>
        <v>147</v>
      </c>
      <c r="J53" s="32"/>
      <c r="K53" s="29"/>
      <c r="L53" s="4">
        <f t="shared" si="6"/>
        <v>163</v>
      </c>
      <c r="N53" s="4"/>
      <c r="O53" s="4"/>
      <c r="P53" s="4"/>
      <c r="Q53" s="4"/>
      <c r="R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L53" s="4"/>
      <c r="AM53" s="4"/>
      <c r="AN53" s="4"/>
      <c r="AO53" s="4"/>
      <c r="AP53" s="4"/>
      <c r="AQ53" s="4"/>
      <c r="AR53" s="4"/>
    </row>
    <row r="54" spans="1:44" ht="41.25" customHeight="1" x14ac:dyDescent="0.2">
      <c r="A54" s="4">
        <v>49</v>
      </c>
      <c r="B54" s="30">
        <v>45936</v>
      </c>
      <c r="C54" s="4"/>
      <c r="D54" s="4"/>
      <c r="E54" s="31">
        <f t="shared" si="7"/>
        <v>147</v>
      </c>
      <c r="F54" s="4"/>
      <c r="G54" s="4"/>
      <c r="H54" s="4">
        <f t="shared" si="4"/>
        <v>0</v>
      </c>
      <c r="I54" s="4">
        <f t="shared" si="5"/>
        <v>147</v>
      </c>
      <c r="J54" s="4"/>
      <c r="K54" s="4"/>
      <c r="L54" s="4">
        <f t="shared" si="6"/>
        <v>163</v>
      </c>
      <c r="AD54" s="4"/>
      <c r="AE54" s="4"/>
      <c r="AF54" s="4"/>
      <c r="AG54" s="4"/>
      <c r="AH54" s="4"/>
      <c r="AI54" s="4"/>
      <c r="AJ54" s="4"/>
    </row>
    <row r="55" spans="1:44" ht="41.25" customHeight="1" x14ac:dyDescent="0.2">
      <c r="A55" s="4">
        <v>50</v>
      </c>
      <c r="B55" s="30">
        <v>45937</v>
      </c>
      <c r="C55" s="4"/>
      <c r="D55" s="4"/>
      <c r="E55" s="31">
        <f t="shared" si="7"/>
        <v>147</v>
      </c>
      <c r="F55" s="4"/>
      <c r="G55" s="4"/>
      <c r="H55" s="4">
        <f t="shared" si="4"/>
        <v>0</v>
      </c>
      <c r="I55" s="4">
        <f t="shared" si="5"/>
        <v>147</v>
      </c>
      <c r="J55" s="4"/>
      <c r="K55" s="4"/>
      <c r="L55" s="4">
        <f t="shared" si="6"/>
        <v>163</v>
      </c>
      <c r="AD55" s="4"/>
      <c r="AE55" s="4"/>
      <c r="AF55" s="4"/>
      <c r="AG55" s="4"/>
      <c r="AH55" s="4"/>
      <c r="AI55" s="4"/>
      <c r="AJ55" s="4"/>
      <c r="AK55" s="1"/>
    </row>
    <row r="56" spans="1:44" ht="41.25" customHeight="1" x14ac:dyDescent="0.2">
      <c r="AL56" s="4"/>
      <c r="AM56" s="4"/>
      <c r="AN56" s="4"/>
      <c r="AO56" s="4"/>
      <c r="AP56" s="4"/>
      <c r="AQ56" s="4"/>
      <c r="AR56" s="4"/>
    </row>
    <row r="57" spans="1:44" ht="41.25" customHeight="1" x14ac:dyDescent="0.2">
      <c r="AL57" s="4"/>
      <c r="AM57" s="4"/>
      <c r="AN57" s="4"/>
      <c r="AO57" s="4"/>
      <c r="AP57" s="4"/>
      <c r="AQ57" s="4"/>
      <c r="AR57" s="4"/>
    </row>
    <row r="58" spans="1:44" ht="41.25" customHeight="1" x14ac:dyDescent="0.2">
      <c r="AL58" s="4"/>
      <c r="AM58" s="4"/>
      <c r="AN58" s="4"/>
      <c r="AO58" s="4"/>
      <c r="AP58" s="4"/>
      <c r="AQ58" s="4"/>
      <c r="AR58" s="4"/>
    </row>
    <row r="59" spans="1:44" ht="41.25" customHeight="1" x14ac:dyDescent="0.2">
      <c r="AL59" s="4"/>
      <c r="AM59" s="4"/>
      <c r="AN59" s="4"/>
      <c r="AO59" s="4"/>
      <c r="AP59" s="4"/>
      <c r="AQ59" s="4"/>
      <c r="AR59" s="4"/>
    </row>
    <row r="60" spans="1:44" ht="41.25" customHeight="1" x14ac:dyDescent="0.2">
      <c r="AL60" s="4"/>
      <c r="AM60" s="4"/>
      <c r="AN60" s="4"/>
      <c r="AO60" s="4"/>
      <c r="AP60" s="4"/>
      <c r="AQ60" s="4"/>
      <c r="AR60" s="4"/>
    </row>
    <row r="61" spans="1:44" ht="41.25" customHeight="1" x14ac:dyDescent="0.2">
      <c r="AL61" s="4"/>
      <c r="AM61" s="4"/>
      <c r="AN61" s="4"/>
      <c r="AO61" s="4"/>
      <c r="AP61" s="4"/>
      <c r="AQ61" s="4"/>
      <c r="AR61" s="4"/>
    </row>
    <row r="62" spans="1:44" ht="41.25" customHeight="1" x14ac:dyDescent="0.2">
      <c r="AL62" s="4"/>
      <c r="AM62" s="4"/>
      <c r="AN62" s="4"/>
      <c r="AO62" s="4"/>
      <c r="AP62" s="4"/>
      <c r="AQ62" s="4"/>
      <c r="AR62" s="4"/>
    </row>
    <row r="63" spans="1:44" ht="41.25" customHeight="1" x14ac:dyDescent="0.2">
      <c r="AL63" s="4"/>
      <c r="AM63" s="4"/>
      <c r="AN63" s="4"/>
      <c r="AO63" s="4"/>
      <c r="AP63" s="4"/>
      <c r="AQ63" s="4"/>
      <c r="AR63" s="4"/>
    </row>
    <row r="64" spans="1:44" ht="41.25" customHeight="1" x14ac:dyDescent="0.2">
      <c r="AL64" s="4"/>
      <c r="AM64" s="4"/>
      <c r="AN64" s="4"/>
      <c r="AO64" s="4"/>
      <c r="AP64" s="4"/>
      <c r="AQ64" s="4"/>
      <c r="AR64" s="4"/>
    </row>
  </sheetData>
  <mergeCells count="19">
    <mergeCell ref="AL34:AL35"/>
    <mergeCell ref="AL36:AL38"/>
    <mergeCell ref="AL4:AL7"/>
    <mergeCell ref="AL12:AL15"/>
    <mergeCell ref="AL16:AL19"/>
    <mergeCell ref="AL24:AL27"/>
    <mergeCell ref="AL28:AL29"/>
    <mergeCell ref="A2:B2"/>
    <mergeCell ref="C2:K2"/>
    <mergeCell ref="AB2:AE2"/>
    <mergeCell ref="B1:K1"/>
    <mergeCell ref="AL30:AL33"/>
    <mergeCell ref="AL2:AR2"/>
    <mergeCell ref="N1:R1"/>
    <mergeCell ref="N2:R2"/>
    <mergeCell ref="T2:U2"/>
    <mergeCell ref="V2:W2"/>
    <mergeCell ref="X2:Y2"/>
    <mergeCell ref="T1:A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AB9F-FB8B-49CF-88CB-9D3B80E6AB36}">
  <sheetPr>
    <tabColor rgb="FFFFC000"/>
  </sheetPr>
  <dimension ref="A1:AS64"/>
  <sheetViews>
    <sheetView zoomScale="91" zoomScaleNormal="91" workbookViewId="0">
      <pane ySplit="3" topLeftCell="A4" activePane="bottomLeft" state="frozen"/>
      <selection activeCell="B1" sqref="B1"/>
      <selection pane="bottomLeft" activeCell="C10" sqref="C10"/>
    </sheetView>
  </sheetViews>
  <sheetFormatPr defaultColWidth="12.125" defaultRowHeight="18" x14ac:dyDescent="0.2"/>
  <cols>
    <col min="1" max="1" width="12.125" style="1"/>
    <col min="2" max="2" width="16.75" style="1" customWidth="1"/>
    <col min="3" max="6" width="12.125" style="1"/>
    <col min="7" max="7" width="11.25" style="1" bestFit="1" customWidth="1"/>
    <col min="8" max="9" width="21.875" style="1" bestFit="1" customWidth="1"/>
    <col min="10" max="10" width="12.5" style="1" customWidth="1"/>
    <col min="11" max="11" width="13.25" style="1" customWidth="1"/>
    <col min="12" max="12" width="16.125" style="1" bestFit="1" customWidth="1"/>
    <col min="13" max="13" width="7.625" style="3" customWidth="1"/>
    <col min="14" max="14" width="20.875" style="1" customWidth="1"/>
    <col min="15" max="15" width="19.5" style="1" customWidth="1"/>
    <col min="16" max="16" width="18.25" style="1" customWidth="1"/>
    <col min="17" max="17" width="17.625" style="1" customWidth="1"/>
    <col min="18" max="18" width="21.375" style="1" customWidth="1"/>
    <col min="19" max="19" width="8.5" style="2" customWidth="1"/>
    <col min="20" max="20" width="15.625" style="1" customWidth="1"/>
    <col min="21" max="21" width="14.75" style="1" customWidth="1"/>
    <col min="22" max="22" width="15.375" style="1" customWidth="1"/>
    <col min="23" max="23" width="23" style="1" customWidth="1"/>
    <col min="24" max="25" width="22.625" style="1" customWidth="1"/>
    <col min="26" max="26" width="13" style="1" bestFit="1" customWidth="1"/>
    <col min="27" max="27" width="16.375" style="1" bestFit="1" customWidth="1"/>
    <col min="28" max="28" width="23.125" style="1" bestFit="1" customWidth="1"/>
    <col min="29" max="29" width="23.125" style="1" customWidth="1"/>
    <col min="30" max="30" width="12" style="1" customWidth="1"/>
    <col min="31" max="32" width="12.125" style="1"/>
    <col min="33" max="33" width="30.75" style="1" bestFit="1" customWidth="1"/>
    <col min="34" max="34" width="30.75" style="1" customWidth="1"/>
    <col min="35" max="35" width="29" style="1" bestFit="1" customWidth="1"/>
    <col min="36" max="36" width="13.75" style="1" customWidth="1"/>
    <col min="37" max="37" width="13.875" style="1" customWidth="1"/>
    <col min="38" max="38" width="10.375" style="7" customWidth="1"/>
    <col min="39" max="40" width="18.625" style="1" customWidth="1"/>
    <col min="41" max="41" width="19.125" style="1" customWidth="1"/>
    <col min="42" max="42" width="15.75" style="1" customWidth="1"/>
    <col min="43" max="43" width="16.5" style="1" customWidth="1"/>
    <col min="44" max="44" width="17.75" style="1" customWidth="1"/>
    <col min="45" max="45" width="17.375" style="1" customWidth="1"/>
    <col min="46" max="16384" width="12.125" style="1"/>
  </cols>
  <sheetData>
    <row r="1" spans="1:45" ht="41.25" customHeight="1" x14ac:dyDescent="0.2">
      <c r="A1" s="4"/>
      <c r="B1" s="9"/>
      <c r="C1" s="46" t="s">
        <v>113</v>
      </c>
      <c r="D1" s="46"/>
      <c r="E1" s="46"/>
      <c r="F1" s="46"/>
      <c r="G1" s="46"/>
      <c r="H1" s="46"/>
      <c r="I1" s="46"/>
      <c r="J1" s="46"/>
      <c r="K1" s="47"/>
      <c r="L1" s="4"/>
      <c r="N1" s="45"/>
      <c r="O1" s="46"/>
      <c r="P1" s="46"/>
      <c r="Q1" s="46"/>
      <c r="R1" s="47"/>
      <c r="T1" s="45" t="s">
        <v>26</v>
      </c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M1" s="4"/>
      <c r="AN1" s="4"/>
      <c r="AO1" s="4"/>
      <c r="AP1" s="4"/>
      <c r="AQ1" s="4"/>
      <c r="AR1" s="4"/>
      <c r="AS1" s="4"/>
    </row>
    <row r="2" spans="1:45" ht="41.25" customHeight="1" x14ac:dyDescent="0.2">
      <c r="A2" s="51">
        <v>45878</v>
      </c>
      <c r="B2" s="46"/>
      <c r="C2" s="46" t="s">
        <v>114</v>
      </c>
      <c r="D2" s="46"/>
      <c r="E2" s="46"/>
      <c r="F2" s="46"/>
      <c r="G2" s="46"/>
      <c r="H2" s="46"/>
      <c r="I2" s="46"/>
      <c r="J2" s="46"/>
      <c r="K2" s="47"/>
      <c r="L2" s="4" t="s">
        <v>37</v>
      </c>
      <c r="N2" s="45" t="s">
        <v>27</v>
      </c>
      <c r="O2" s="46"/>
      <c r="P2" s="46"/>
      <c r="Q2" s="46"/>
      <c r="R2" s="47"/>
      <c r="T2" s="45" t="s">
        <v>103</v>
      </c>
      <c r="U2" s="46"/>
      <c r="V2" s="45" t="s">
        <v>41</v>
      </c>
      <c r="W2" s="47"/>
      <c r="X2" s="45">
        <v>3669</v>
      </c>
      <c r="Y2" s="46"/>
      <c r="Z2" s="47"/>
      <c r="AA2" s="6"/>
      <c r="AB2" s="6"/>
      <c r="AC2" s="46" t="s">
        <v>9</v>
      </c>
      <c r="AD2" s="46"/>
      <c r="AE2" s="46"/>
      <c r="AF2" s="47"/>
      <c r="AG2" s="4" t="s">
        <v>18</v>
      </c>
      <c r="AH2" s="45">
        <v>3482</v>
      </c>
      <c r="AI2" s="46"/>
      <c r="AJ2" s="47"/>
      <c r="AK2" s="4"/>
      <c r="AM2" s="48" t="s">
        <v>33</v>
      </c>
      <c r="AN2" s="48"/>
      <c r="AO2" s="48"/>
      <c r="AP2" s="48"/>
      <c r="AQ2" s="48"/>
      <c r="AR2" s="48"/>
      <c r="AS2" s="48"/>
    </row>
    <row r="3" spans="1:45" ht="41.2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11</v>
      </c>
      <c r="I3" s="4" t="s">
        <v>7</v>
      </c>
      <c r="J3" s="4" t="s">
        <v>8</v>
      </c>
      <c r="K3" s="4" t="s">
        <v>9</v>
      </c>
      <c r="L3" s="4" t="s">
        <v>10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T3" s="4" t="s">
        <v>1</v>
      </c>
      <c r="U3" s="4" t="s">
        <v>17</v>
      </c>
      <c r="V3" s="4" t="s">
        <v>8</v>
      </c>
      <c r="W3" s="4" t="s">
        <v>18</v>
      </c>
      <c r="X3" s="4" t="s">
        <v>19</v>
      </c>
      <c r="Y3" s="4" t="s">
        <v>8</v>
      </c>
      <c r="Z3" s="4" t="s">
        <v>38</v>
      </c>
      <c r="AA3" s="4" t="s">
        <v>25</v>
      </c>
      <c r="AB3" s="4" t="s">
        <v>18</v>
      </c>
      <c r="AC3" s="4" t="s">
        <v>23</v>
      </c>
      <c r="AD3" s="4" t="s">
        <v>20</v>
      </c>
      <c r="AE3" s="4" t="s">
        <v>21</v>
      </c>
      <c r="AF3" s="4" t="s">
        <v>22</v>
      </c>
      <c r="AG3" s="4" t="s">
        <v>43</v>
      </c>
      <c r="AH3" s="4" t="s">
        <v>7</v>
      </c>
      <c r="AI3" s="4" t="s">
        <v>44</v>
      </c>
      <c r="AJ3" s="4" t="s">
        <v>8</v>
      </c>
      <c r="AK3" s="4" t="s">
        <v>24</v>
      </c>
      <c r="AM3" s="4" t="s">
        <v>28</v>
      </c>
      <c r="AN3" s="4" t="s">
        <v>29</v>
      </c>
      <c r="AO3" s="4" t="s">
        <v>14</v>
      </c>
      <c r="AP3" s="4" t="s">
        <v>30</v>
      </c>
      <c r="AQ3" s="4" t="s">
        <v>31</v>
      </c>
      <c r="AR3" s="4" t="s">
        <v>32</v>
      </c>
      <c r="AS3" s="4" t="s">
        <v>16</v>
      </c>
    </row>
    <row r="4" spans="1:45" ht="41.25" customHeight="1" x14ac:dyDescent="0.2">
      <c r="A4" s="4">
        <v>1</v>
      </c>
      <c r="B4" s="10">
        <v>45879</v>
      </c>
      <c r="C4" s="4">
        <v>6</v>
      </c>
      <c r="D4" s="4"/>
      <c r="E4" s="4">
        <f>D4+C4+C5</f>
        <v>6</v>
      </c>
      <c r="F4" s="4">
        <v>5.5</v>
      </c>
      <c r="G4" s="4"/>
      <c r="H4" s="4">
        <v>0.5</v>
      </c>
      <c r="I4" s="4">
        <f t="shared" ref="I4:I45" si="0">E4-F4-G4</f>
        <v>0.5</v>
      </c>
      <c r="J4" s="4"/>
      <c r="K4" s="4">
        <v>11</v>
      </c>
      <c r="L4" s="4">
        <v>11</v>
      </c>
      <c r="N4" s="4"/>
      <c r="O4" s="4"/>
      <c r="P4" s="4"/>
      <c r="Q4" s="4"/>
      <c r="R4" s="4"/>
      <c r="T4" s="27">
        <v>45915</v>
      </c>
      <c r="U4" s="1">
        <v>351</v>
      </c>
      <c r="V4" s="4">
        <v>572.4</v>
      </c>
      <c r="W4" s="4">
        <v>351</v>
      </c>
      <c r="X4" s="4">
        <v>572.4</v>
      </c>
      <c r="Y4" s="4">
        <f>X4/W4</f>
        <v>1.6307692307692307</v>
      </c>
      <c r="Z4" s="4">
        <v>209</v>
      </c>
      <c r="AA4" s="4">
        <f>Z4*100/X2</f>
        <v>5.696375034069229</v>
      </c>
      <c r="AB4" s="4">
        <v>2951</v>
      </c>
      <c r="AC4" s="1">
        <f>AB4+Z4-X2</f>
        <v>-509</v>
      </c>
      <c r="AD4" s="4"/>
      <c r="AE4" s="4"/>
      <c r="AF4" s="4"/>
      <c r="AG4" s="4"/>
      <c r="AH4" s="42"/>
      <c r="AI4" s="42"/>
      <c r="AJ4" s="42">
        <f>AG4/AH2</f>
        <v>0</v>
      </c>
      <c r="AK4" s="42" t="e">
        <f>AI4/AG5</f>
        <v>#DIV/0!</v>
      </c>
      <c r="AM4" s="48" t="s">
        <v>105</v>
      </c>
      <c r="AN4" s="4" t="s">
        <v>45</v>
      </c>
      <c r="AO4" s="20">
        <v>53</v>
      </c>
      <c r="AP4" s="4">
        <v>2</v>
      </c>
      <c r="AQ4" s="20">
        <f>AO4*AP4</f>
        <v>106</v>
      </c>
      <c r="AR4" s="4"/>
      <c r="AS4" s="25"/>
    </row>
    <row r="5" spans="1:45" ht="41.25" customHeight="1" x14ac:dyDescent="0.2">
      <c r="A5" s="4">
        <v>2</v>
      </c>
      <c r="B5" s="10">
        <v>45880</v>
      </c>
      <c r="C5" s="4"/>
      <c r="D5" s="4"/>
      <c r="E5" s="4">
        <f>E4+C5+D5</f>
        <v>6</v>
      </c>
      <c r="F5" s="4">
        <v>4.5</v>
      </c>
      <c r="G5" s="4"/>
      <c r="H5" s="4">
        <f>I5-I4</f>
        <v>1</v>
      </c>
      <c r="I5" s="4">
        <f t="shared" si="0"/>
        <v>1.5</v>
      </c>
      <c r="J5" s="4"/>
      <c r="K5" s="4">
        <v>8</v>
      </c>
      <c r="L5" s="4">
        <f>L4+K5</f>
        <v>19</v>
      </c>
      <c r="N5" s="4"/>
      <c r="O5" s="4"/>
      <c r="P5" s="4"/>
      <c r="Q5" s="4"/>
      <c r="R5" s="4"/>
      <c r="T5" s="27">
        <v>45916</v>
      </c>
      <c r="U5" s="24">
        <v>331</v>
      </c>
      <c r="V5" s="4">
        <v>532.35</v>
      </c>
      <c r="W5" s="4">
        <f>W4+U5</f>
        <v>682</v>
      </c>
      <c r="X5" s="4">
        <f>X4+V5</f>
        <v>1104.75</v>
      </c>
      <c r="Y5" s="4">
        <f t="shared" ref="Y5:Y10" si="1">X5/W5</f>
        <v>1.6198680351906158</v>
      </c>
      <c r="Z5" s="4"/>
      <c r="AA5" s="4"/>
      <c r="AB5" s="4"/>
      <c r="AC5" s="4"/>
      <c r="AD5" s="4">
        <f>AD4*0.3</f>
        <v>0</v>
      </c>
      <c r="AE5" s="4">
        <f>AE4*0.7</f>
        <v>0</v>
      </c>
      <c r="AF5" s="4">
        <f>AF4*0.8</f>
        <v>0</v>
      </c>
      <c r="AG5" s="4">
        <f>AG4+AD5+AE5+AF5</f>
        <v>0</v>
      </c>
      <c r="AH5" s="44"/>
      <c r="AI5" s="44"/>
      <c r="AJ5" s="44"/>
      <c r="AK5" s="44"/>
      <c r="AM5" s="48"/>
      <c r="AN5" s="4" t="s">
        <v>77</v>
      </c>
      <c r="AO5" s="20">
        <v>39</v>
      </c>
      <c r="AP5" s="4">
        <v>2</v>
      </c>
      <c r="AQ5" s="20">
        <f t="shared" ref="AQ5:AQ13" si="2">AO5*AP5</f>
        <v>78</v>
      </c>
      <c r="AR5" s="4"/>
      <c r="AS5" s="20"/>
    </row>
    <row r="6" spans="1:45" ht="41.25" customHeight="1" x14ac:dyDescent="0.2">
      <c r="A6" s="4">
        <v>3</v>
      </c>
      <c r="B6" s="10">
        <v>45881</v>
      </c>
      <c r="C6" s="4"/>
      <c r="D6" s="4"/>
      <c r="E6" s="4">
        <f t="shared" ref="E6:E53" si="3">E5+C6+D6</f>
        <v>6</v>
      </c>
      <c r="F6" s="4">
        <v>3</v>
      </c>
      <c r="G6" s="4"/>
      <c r="H6" s="4">
        <f t="shared" ref="H6:H53" si="4">I6-I5</f>
        <v>1.5</v>
      </c>
      <c r="I6" s="4">
        <f t="shared" si="0"/>
        <v>3</v>
      </c>
      <c r="J6" s="4"/>
      <c r="K6" s="4">
        <v>6</v>
      </c>
      <c r="L6" s="4">
        <f t="shared" ref="L6:L53" si="5">L5+K6</f>
        <v>25</v>
      </c>
      <c r="N6" s="4"/>
      <c r="O6" s="4"/>
      <c r="P6" s="4"/>
      <c r="Q6" s="4"/>
      <c r="R6" s="4"/>
      <c r="T6" s="27">
        <v>45917</v>
      </c>
      <c r="U6" s="24">
        <v>720</v>
      </c>
      <c r="V6" s="4">
        <v>1079.55</v>
      </c>
      <c r="W6" s="4">
        <f t="shared" ref="W6:X10" si="6">W5+U6</f>
        <v>1402</v>
      </c>
      <c r="X6" s="4">
        <f t="shared" si="6"/>
        <v>2184.3000000000002</v>
      </c>
      <c r="Y6" s="4">
        <f t="shared" si="1"/>
        <v>1.5579885877318118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M6" s="48"/>
      <c r="AN6" s="4" t="s">
        <v>61</v>
      </c>
      <c r="AO6" s="20">
        <v>12</v>
      </c>
      <c r="AP6" s="4">
        <v>2</v>
      </c>
      <c r="AQ6" s="20">
        <f t="shared" si="2"/>
        <v>24</v>
      </c>
      <c r="AR6" s="4"/>
      <c r="AS6" s="4"/>
    </row>
    <row r="7" spans="1:45" ht="41.25" customHeight="1" x14ac:dyDescent="0.2">
      <c r="A7" s="4">
        <v>4</v>
      </c>
      <c r="B7" s="10">
        <v>45882</v>
      </c>
      <c r="C7" s="4">
        <v>7</v>
      </c>
      <c r="D7" s="4"/>
      <c r="E7" s="4">
        <f>E6+C7+D7</f>
        <v>13</v>
      </c>
      <c r="F7" s="4">
        <v>8.5</v>
      </c>
      <c r="G7" s="4"/>
      <c r="H7" s="4">
        <f t="shared" si="4"/>
        <v>1.5</v>
      </c>
      <c r="I7" s="4">
        <f t="shared" si="0"/>
        <v>4.5</v>
      </c>
      <c r="J7" s="4"/>
      <c r="K7" s="4">
        <v>8</v>
      </c>
      <c r="L7" s="4">
        <f t="shared" si="5"/>
        <v>33</v>
      </c>
      <c r="N7" s="4"/>
      <c r="O7" s="4"/>
      <c r="P7" s="4"/>
      <c r="Q7" s="4"/>
      <c r="R7" s="4"/>
      <c r="T7" s="27">
        <v>45918</v>
      </c>
      <c r="U7" s="24">
        <v>468</v>
      </c>
      <c r="V7" s="4">
        <v>743.15</v>
      </c>
      <c r="W7" s="4">
        <f t="shared" si="6"/>
        <v>1870</v>
      </c>
      <c r="X7" s="4">
        <f t="shared" si="6"/>
        <v>2927.4500000000003</v>
      </c>
      <c r="Y7" s="4">
        <f t="shared" si="1"/>
        <v>1.5654812834224601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M7" s="48"/>
      <c r="AN7" s="4" t="s">
        <v>47</v>
      </c>
      <c r="AO7" s="20">
        <v>39</v>
      </c>
      <c r="AP7" s="4">
        <v>2</v>
      </c>
      <c r="AQ7" s="20">
        <f t="shared" si="2"/>
        <v>78</v>
      </c>
      <c r="AR7" s="4"/>
      <c r="AS7" s="4"/>
    </row>
    <row r="8" spans="1:45" ht="41.25" customHeight="1" x14ac:dyDescent="0.2">
      <c r="A8" s="4">
        <v>5</v>
      </c>
      <c r="B8" s="10">
        <v>45883</v>
      </c>
      <c r="C8" s="4"/>
      <c r="D8" s="4"/>
      <c r="E8" s="4">
        <f>E7+C8+D8</f>
        <v>13</v>
      </c>
      <c r="F8" s="4">
        <v>7</v>
      </c>
      <c r="G8" s="4"/>
      <c r="H8" s="4">
        <f t="shared" si="4"/>
        <v>1.5</v>
      </c>
      <c r="I8" s="4">
        <f t="shared" si="0"/>
        <v>6</v>
      </c>
      <c r="J8" s="4"/>
      <c r="K8" s="4">
        <v>2</v>
      </c>
      <c r="L8" s="4">
        <f t="shared" si="5"/>
        <v>35</v>
      </c>
      <c r="N8" s="4"/>
      <c r="O8" s="4"/>
      <c r="P8" s="4"/>
      <c r="Q8" s="4"/>
      <c r="T8" s="27">
        <v>45919</v>
      </c>
      <c r="U8" s="24">
        <v>859</v>
      </c>
      <c r="V8" s="4">
        <v>1235.8499999999999</v>
      </c>
      <c r="W8" s="4">
        <f t="shared" si="6"/>
        <v>2729</v>
      </c>
      <c r="X8" s="4">
        <f>X7+V8</f>
        <v>4163.3</v>
      </c>
      <c r="Y8" s="4">
        <f t="shared" si="1"/>
        <v>1.525577134481495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21"/>
      <c r="AL8" s="28"/>
      <c r="AM8" s="21" t="s">
        <v>106</v>
      </c>
      <c r="AN8" s="21" t="s">
        <v>45</v>
      </c>
      <c r="AO8" s="21">
        <v>53</v>
      </c>
      <c r="AP8" s="4">
        <v>2</v>
      </c>
      <c r="AQ8" s="20">
        <f t="shared" si="2"/>
        <v>106</v>
      </c>
      <c r="AR8" s="4"/>
      <c r="AS8" s="4"/>
    </row>
    <row r="9" spans="1:45" ht="41.25" customHeight="1" x14ac:dyDescent="0.2">
      <c r="A9" s="4">
        <v>6</v>
      </c>
      <c r="B9" s="10">
        <v>45884</v>
      </c>
      <c r="C9" s="4"/>
      <c r="D9" s="4"/>
      <c r="E9" s="4">
        <f t="shared" si="3"/>
        <v>13</v>
      </c>
      <c r="F9" s="4">
        <v>5</v>
      </c>
      <c r="G9" s="4"/>
      <c r="H9" s="4">
        <f t="shared" si="4"/>
        <v>2</v>
      </c>
      <c r="I9" s="4">
        <f t="shared" si="0"/>
        <v>8</v>
      </c>
      <c r="J9" s="4"/>
      <c r="K9" s="4">
        <v>5</v>
      </c>
      <c r="L9" s="4">
        <f t="shared" si="5"/>
        <v>40</v>
      </c>
      <c r="N9" s="4"/>
      <c r="O9" s="4"/>
      <c r="P9" s="4"/>
      <c r="Q9" s="4"/>
      <c r="R9" s="4"/>
      <c r="T9" s="27">
        <v>45924</v>
      </c>
      <c r="U9" s="24">
        <v>222</v>
      </c>
      <c r="V9" s="4">
        <v>353.55</v>
      </c>
      <c r="W9" s="4">
        <f t="shared" si="6"/>
        <v>2951</v>
      </c>
      <c r="X9" s="4">
        <f t="shared" si="6"/>
        <v>4516.8500000000004</v>
      </c>
      <c r="Y9" s="4">
        <f t="shared" si="1"/>
        <v>1.5306167400881059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21"/>
      <c r="AL9" s="28"/>
      <c r="AM9" s="21"/>
      <c r="AN9" s="21" t="s">
        <v>77</v>
      </c>
      <c r="AO9" s="21">
        <v>39</v>
      </c>
      <c r="AP9" s="4">
        <v>2</v>
      </c>
      <c r="AQ9" s="20">
        <f t="shared" si="2"/>
        <v>78</v>
      </c>
      <c r="AR9" s="4"/>
      <c r="AS9" s="4"/>
    </row>
    <row r="10" spans="1:45" ht="41.25" customHeight="1" x14ac:dyDescent="0.2">
      <c r="A10" s="4">
        <v>7</v>
      </c>
      <c r="B10" s="10">
        <v>45885</v>
      </c>
      <c r="C10" s="4">
        <v>5</v>
      </c>
      <c r="D10" s="4"/>
      <c r="E10" s="4">
        <f t="shared" si="3"/>
        <v>18</v>
      </c>
      <c r="F10" s="4">
        <v>7.5</v>
      </c>
      <c r="G10" s="4"/>
      <c r="H10" s="4">
        <f>I10-I9</f>
        <v>2.5</v>
      </c>
      <c r="I10" s="4">
        <f t="shared" si="0"/>
        <v>10.5</v>
      </c>
      <c r="J10" s="4"/>
      <c r="K10" s="4">
        <v>4</v>
      </c>
      <c r="L10" s="4">
        <f t="shared" si="5"/>
        <v>44</v>
      </c>
      <c r="N10" s="4"/>
      <c r="O10" s="4"/>
      <c r="P10" s="4"/>
      <c r="Q10" s="4"/>
      <c r="R10" s="4"/>
      <c r="T10" s="27"/>
      <c r="U10" s="24"/>
      <c r="V10" s="4"/>
      <c r="W10" s="4">
        <f t="shared" si="6"/>
        <v>2951</v>
      </c>
      <c r="X10" s="4">
        <f t="shared" si="6"/>
        <v>4516.8500000000004</v>
      </c>
      <c r="Y10" s="4">
        <f t="shared" si="1"/>
        <v>1.5306167400881059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21"/>
      <c r="AL10" s="28"/>
      <c r="AM10" s="21"/>
      <c r="AN10" s="21" t="s">
        <v>58</v>
      </c>
      <c r="AO10" s="21">
        <v>15</v>
      </c>
      <c r="AP10" s="4">
        <v>2</v>
      </c>
      <c r="AQ10" s="20">
        <f t="shared" si="2"/>
        <v>30</v>
      </c>
      <c r="AR10" s="4"/>
      <c r="AS10" s="4"/>
    </row>
    <row r="11" spans="1:45" ht="41.25" customHeight="1" x14ac:dyDescent="0.2">
      <c r="A11" s="4">
        <v>8</v>
      </c>
      <c r="B11" s="10">
        <v>45886</v>
      </c>
      <c r="C11" s="4"/>
      <c r="D11" s="4"/>
      <c r="E11" s="4">
        <f t="shared" si="3"/>
        <v>18</v>
      </c>
      <c r="F11" s="4">
        <v>4.5</v>
      </c>
      <c r="G11" s="4"/>
      <c r="H11" s="4">
        <f t="shared" si="4"/>
        <v>3</v>
      </c>
      <c r="I11" s="4">
        <f t="shared" si="0"/>
        <v>13.5</v>
      </c>
      <c r="J11" s="4"/>
      <c r="K11" s="4">
        <v>3</v>
      </c>
      <c r="L11" s="4">
        <f t="shared" si="5"/>
        <v>47</v>
      </c>
      <c r="N11" s="4"/>
      <c r="O11" s="4"/>
      <c r="P11" s="4"/>
      <c r="Q11" s="4"/>
      <c r="R11" s="4"/>
      <c r="U11" s="24" t="s">
        <v>104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21"/>
      <c r="AL11" s="28"/>
      <c r="AM11" s="21"/>
      <c r="AN11" s="21" t="s">
        <v>47</v>
      </c>
      <c r="AO11" s="21">
        <v>48</v>
      </c>
      <c r="AP11" s="4">
        <v>2</v>
      </c>
      <c r="AQ11" s="20">
        <f t="shared" si="2"/>
        <v>96</v>
      </c>
      <c r="AR11" s="4"/>
      <c r="AS11" s="4"/>
    </row>
    <row r="12" spans="1:45" ht="41.25" customHeight="1" x14ac:dyDescent="0.2">
      <c r="A12" s="4">
        <v>9</v>
      </c>
      <c r="B12" s="10">
        <v>45887</v>
      </c>
      <c r="C12" s="4">
        <v>10</v>
      </c>
      <c r="D12" s="4"/>
      <c r="E12" s="4">
        <f t="shared" si="3"/>
        <v>28</v>
      </c>
      <c r="F12" s="4">
        <v>11</v>
      </c>
      <c r="G12" s="4"/>
      <c r="H12" s="4">
        <f t="shared" si="4"/>
        <v>3.5</v>
      </c>
      <c r="I12" s="4">
        <f t="shared" si="0"/>
        <v>17</v>
      </c>
      <c r="J12" s="4"/>
      <c r="K12" s="4">
        <v>5</v>
      </c>
      <c r="L12" s="4">
        <f t="shared" si="5"/>
        <v>52</v>
      </c>
      <c r="N12" s="4"/>
      <c r="O12" s="4"/>
      <c r="P12" s="4"/>
      <c r="Q12" s="4"/>
      <c r="R12" s="4"/>
      <c r="T12" s="23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21"/>
      <c r="AL12" s="28"/>
      <c r="AM12" s="52" t="s">
        <v>52</v>
      </c>
      <c r="AN12" s="21" t="s">
        <v>50</v>
      </c>
      <c r="AO12" s="21">
        <v>34</v>
      </c>
      <c r="AP12" s="4">
        <v>3</v>
      </c>
      <c r="AQ12" s="11">
        <f t="shared" si="2"/>
        <v>102</v>
      </c>
      <c r="AR12" s="4"/>
      <c r="AS12" s="4"/>
    </row>
    <row r="13" spans="1:45" ht="41.25" customHeight="1" x14ac:dyDescent="0.2">
      <c r="A13" s="4">
        <v>10</v>
      </c>
      <c r="B13" s="10">
        <v>45888</v>
      </c>
      <c r="C13" s="4"/>
      <c r="D13" s="4"/>
      <c r="E13" s="4">
        <f t="shared" si="3"/>
        <v>28</v>
      </c>
      <c r="F13" s="4">
        <v>7.5</v>
      </c>
      <c r="G13" s="4"/>
      <c r="H13" s="4">
        <f t="shared" si="4"/>
        <v>3.5</v>
      </c>
      <c r="I13" s="4">
        <f t="shared" si="0"/>
        <v>20.5</v>
      </c>
      <c r="J13" s="4"/>
      <c r="K13" s="4">
        <v>3</v>
      </c>
      <c r="L13" s="4">
        <f t="shared" si="5"/>
        <v>55</v>
      </c>
      <c r="N13" s="4"/>
      <c r="O13" s="4"/>
      <c r="P13" s="4"/>
      <c r="Q13" s="4"/>
      <c r="R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21"/>
      <c r="AL13" s="28"/>
      <c r="AM13" s="52"/>
      <c r="AN13" s="21" t="s">
        <v>51</v>
      </c>
      <c r="AO13" s="21">
        <v>24</v>
      </c>
      <c r="AP13" s="4">
        <v>3</v>
      </c>
      <c r="AQ13" s="11">
        <f t="shared" si="2"/>
        <v>72</v>
      </c>
      <c r="AR13" s="4"/>
      <c r="AS13" s="4"/>
    </row>
    <row r="14" spans="1:45" ht="41.25" customHeight="1" x14ac:dyDescent="0.2">
      <c r="A14" s="4">
        <v>11</v>
      </c>
      <c r="B14" s="10">
        <v>45889</v>
      </c>
      <c r="C14" s="4"/>
      <c r="D14" s="4"/>
      <c r="E14" s="4">
        <f t="shared" si="3"/>
        <v>28</v>
      </c>
      <c r="F14" s="4">
        <v>4</v>
      </c>
      <c r="G14" s="4"/>
      <c r="H14" s="4">
        <f t="shared" si="4"/>
        <v>3.5</v>
      </c>
      <c r="I14" s="4">
        <f t="shared" si="0"/>
        <v>24</v>
      </c>
      <c r="J14" s="4"/>
      <c r="K14" s="4">
        <v>6</v>
      </c>
      <c r="L14" s="4">
        <f t="shared" si="5"/>
        <v>61</v>
      </c>
      <c r="N14" s="4"/>
      <c r="O14" s="4"/>
      <c r="P14" s="4"/>
      <c r="Q14" s="4"/>
      <c r="R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21"/>
      <c r="AL14" s="28"/>
      <c r="AM14" s="52"/>
      <c r="AN14" s="21" t="s">
        <v>67</v>
      </c>
      <c r="AO14" s="21">
        <v>1</v>
      </c>
      <c r="AP14" s="4">
        <v>3</v>
      </c>
      <c r="AQ14" s="21">
        <f>AO14*AP14</f>
        <v>3</v>
      </c>
      <c r="AR14" s="4"/>
      <c r="AS14" s="4"/>
    </row>
    <row r="15" spans="1:45" ht="41.25" customHeight="1" x14ac:dyDescent="0.2">
      <c r="A15" s="4">
        <v>12</v>
      </c>
      <c r="B15" s="10">
        <v>45890</v>
      </c>
      <c r="C15" s="4">
        <v>8</v>
      </c>
      <c r="D15" s="4"/>
      <c r="E15" s="4">
        <f t="shared" si="3"/>
        <v>36</v>
      </c>
      <c r="F15" s="4">
        <v>8.5</v>
      </c>
      <c r="G15" s="4"/>
      <c r="H15" s="4">
        <f t="shared" si="4"/>
        <v>3.5</v>
      </c>
      <c r="I15" s="4">
        <f t="shared" si="0"/>
        <v>27.5</v>
      </c>
      <c r="J15" s="4"/>
      <c r="K15" s="4">
        <v>7</v>
      </c>
      <c r="L15" s="4">
        <f t="shared" si="5"/>
        <v>68</v>
      </c>
      <c r="N15" s="4"/>
      <c r="O15" s="4"/>
      <c r="P15" s="4"/>
      <c r="Q15" s="4"/>
      <c r="R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21"/>
      <c r="AL15" s="28"/>
      <c r="AM15" s="52"/>
      <c r="AN15" s="21" t="s">
        <v>48</v>
      </c>
      <c r="AO15" s="11">
        <v>40</v>
      </c>
      <c r="AP15" s="4">
        <v>3</v>
      </c>
      <c r="AQ15" s="11">
        <f>AO15*AP15</f>
        <v>120</v>
      </c>
      <c r="AR15" s="4"/>
      <c r="AS15" s="4"/>
    </row>
    <row r="16" spans="1:45" ht="41.25" customHeight="1" x14ac:dyDescent="0.2">
      <c r="A16" s="4">
        <v>13</v>
      </c>
      <c r="B16" s="10">
        <v>45891</v>
      </c>
      <c r="C16" s="4"/>
      <c r="D16" s="4"/>
      <c r="E16" s="4">
        <f t="shared" si="3"/>
        <v>36</v>
      </c>
      <c r="F16" s="4">
        <v>4.5</v>
      </c>
      <c r="G16" s="4"/>
      <c r="H16" s="4">
        <f t="shared" si="4"/>
        <v>4</v>
      </c>
      <c r="I16" s="4">
        <f t="shared" si="0"/>
        <v>31.5</v>
      </c>
      <c r="J16" s="4"/>
      <c r="K16" s="4">
        <v>6</v>
      </c>
      <c r="L16" s="4">
        <f t="shared" si="5"/>
        <v>74</v>
      </c>
      <c r="N16" s="4"/>
      <c r="O16" s="4"/>
      <c r="P16" s="4"/>
      <c r="Q16" s="4"/>
      <c r="R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21"/>
      <c r="AL16" s="28"/>
      <c r="AM16" s="53">
        <v>10</v>
      </c>
      <c r="AN16" s="21" t="s">
        <v>84</v>
      </c>
      <c r="AO16" s="20">
        <v>175</v>
      </c>
      <c r="AP16" s="4">
        <v>1</v>
      </c>
      <c r="AQ16" s="20">
        <f>AO16*AP16</f>
        <v>175</v>
      </c>
      <c r="AR16" s="4"/>
      <c r="AS16" s="4"/>
    </row>
    <row r="17" spans="1:45" ht="41.25" customHeight="1" x14ac:dyDescent="0.2">
      <c r="A17" s="4">
        <v>14</v>
      </c>
      <c r="B17" s="10">
        <v>45892</v>
      </c>
      <c r="C17" s="4">
        <v>13</v>
      </c>
      <c r="D17" s="4"/>
      <c r="E17" s="4">
        <f t="shared" si="3"/>
        <v>49</v>
      </c>
      <c r="F17" s="4">
        <v>11.5</v>
      </c>
      <c r="G17" s="4"/>
      <c r="H17" s="4">
        <f t="shared" si="4"/>
        <v>6</v>
      </c>
      <c r="I17" s="4">
        <f t="shared" si="0"/>
        <v>37.5</v>
      </c>
      <c r="J17" s="4"/>
      <c r="K17" s="4">
        <v>2</v>
      </c>
      <c r="L17" s="4">
        <f t="shared" si="5"/>
        <v>76</v>
      </c>
      <c r="N17" s="4"/>
      <c r="O17" s="4"/>
      <c r="P17" s="4"/>
      <c r="Q17" s="4"/>
      <c r="R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21"/>
      <c r="AL17" s="28"/>
      <c r="AM17" s="53"/>
      <c r="AN17" s="21" t="s">
        <v>85</v>
      </c>
      <c r="AO17" s="25">
        <v>1</v>
      </c>
      <c r="AP17" s="4">
        <v>1</v>
      </c>
      <c r="AQ17" s="25">
        <f>AO17*AP17</f>
        <v>1</v>
      </c>
      <c r="AR17" s="4"/>
      <c r="AS17" s="4"/>
    </row>
    <row r="18" spans="1:45" ht="41.25" customHeight="1" x14ac:dyDescent="0.2">
      <c r="A18" s="4">
        <v>15</v>
      </c>
      <c r="B18" s="10">
        <v>45893</v>
      </c>
      <c r="C18" s="4"/>
      <c r="D18" s="4"/>
      <c r="E18" s="4">
        <f t="shared" si="3"/>
        <v>49</v>
      </c>
      <c r="F18" s="4">
        <v>7</v>
      </c>
      <c r="G18" s="4"/>
      <c r="H18" s="4">
        <f t="shared" si="4"/>
        <v>4.5</v>
      </c>
      <c r="I18" s="4">
        <f t="shared" si="0"/>
        <v>42</v>
      </c>
      <c r="J18" s="4"/>
      <c r="K18" s="4">
        <v>4</v>
      </c>
      <c r="L18" s="4">
        <f t="shared" si="5"/>
        <v>80</v>
      </c>
      <c r="N18" s="4"/>
      <c r="O18" s="4"/>
      <c r="P18" s="4"/>
      <c r="Q18" s="4"/>
      <c r="R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21"/>
      <c r="AL18" s="28"/>
      <c r="AM18" s="53"/>
      <c r="AN18" s="21" t="s">
        <v>67</v>
      </c>
      <c r="AO18" s="21">
        <v>2</v>
      </c>
      <c r="AP18" s="4">
        <v>1</v>
      </c>
      <c r="AQ18" s="21">
        <f t="shared" ref="AQ18:AQ19" si="7">AO18*AP18</f>
        <v>2</v>
      </c>
      <c r="AR18" s="4"/>
      <c r="AS18" s="4"/>
    </row>
    <row r="19" spans="1:45" ht="41.25" customHeight="1" x14ac:dyDescent="0.2">
      <c r="A19" s="4">
        <v>16</v>
      </c>
      <c r="B19" s="10">
        <v>45894</v>
      </c>
      <c r="C19" s="4">
        <v>14</v>
      </c>
      <c r="D19" s="4"/>
      <c r="E19" s="4">
        <f t="shared" si="3"/>
        <v>63</v>
      </c>
      <c r="F19" s="4">
        <v>15</v>
      </c>
      <c r="G19" s="4"/>
      <c r="H19" s="4">
        <f t="shared" si="4"/>
        <v>6</v>
      </c>
      <c r="I19" s="4">
        <f t="shared" si="0"/>
        <v>48</v>
      </c>
      <c r="J19" s="4"/>
      <c r="K19" s="4">
        <v>7</v>
      </c>
      <c r="L19" s="4">
        <f t="shared" si="5"/>
        <v>87</v>
      </c>
      <c r="N19" s="4"/>
      <c r="O19" s="4"/>
      <c r="P19" s="4"/>
      <c r="Q19" s="4"/>
      <c r="R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21"/>
      <c r="AL19" s="28"/>
      <c r="AM19" s="53"/>
      <c r="AN19" s="21" t="s">
        <v>48</v>
      </c>
      <c r="AO19" s="11">
        <v>90</v>
      </c>
      <c r="AP19" s="4">
        <v>1</v>
      </c>
      <c r="AQ19" s="11">
        <f t="shared" si="7"/>
        <v>90</v>
      </c>
      <c r="AR19" s="4"/>
      <c r="AS19" s="4"/>
    </row>
    <row r="20" spans="1:45" ht="41.25" customHeight="1" x14ac:dyDescent="0.2">
      <c r="A20" s="4">
        <v>17</v>
      </c>
      <c r="B20" s="10">
        <v>45895</v>
      </c>
      <c r="C20" s="4"/>
      <c r="D20" s="4"/>
      <c r="E20" s="4">
        <f>E19+C20+D20</f>
        <v>63</v>
      </c>
      <c r="F20" s="4">
        <v>9</v>
      </c>
      <c r="G20" s="4"/>
      <c r="H20" s="4">
        <f t="shared" si="4"/>
        <v>6</v>
      </c>
      <c r="I20" s="4">
        <f t="shared" si="0"/>
        <v>54</v>
      </c>
      <c r="J20" s="4"/>
      <c r="K20" s="4">
        <v>1</v>
      </c>
      <c r="L20" s="4">
        <f t="shared" si="5"/>
        <v>88</v>
      </c>
      <c r="N20" s="4"/>
      <c r="O20" s="4"/>
      <c r="P20" s="4"/>
      <c r="Q20" s="4"/>
      <c r="R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M20" s="4">
        <v>11</v>
      </c>
      <c r="AN20" s="4" t="s">
        <v>84</v>
      </c>
      <c r="AO20" s="20">
        <v>175</v>
      </c>
      <c r="AP20" s="4">
        <v>1</v>
      </c>
      <c r="AQ20" s="20">
        <f t="shared" ref="AQ20:AQ25" si="8">AO20*AP20</f>
        <v>175</v>
      </c>
      <c r="AR20" s="4"/>
      <c r="AS20" s="4"/>
    </row>
    <row r="21" spans="1:45" ht="41.25" customHeight="1" x14ac:dyDescent="0.2">
      <c r="A21" s="4">
        <v>18</v>
      </c>
      <c r="B21" s="10">
        <v>45896</v>
      </c>
      <c r="C21" s="1">
        <v>10</v>
      </c>
      <c r="D21" s="4"/>
      <c r="E21" s="4">
        <f>E20+D21+C21</f>
        <v>73</v>
      </c>
      <c r="F21" s="4">
        <v>13</v>
      </c>
      <c r="G21" s="4"/>
      <c r="H21" s="4">
        <f t="shared" si="4"/>
        <v>6</v>
      </c>
      <c r="I21" s="4">
        <f t="shared" si="0"/>
        <v>60</v>
      </c>
      <c r="J21" s="4"/>
      <c r="K21" s="4">
        <v>2</v>
      </c>
      <c r="L21" s="4">
        <f t="shared" si="5"/>
        <v>90</v>
      </c>
      <c r="N21" s="4"/>
      <c r="O21" s="4"/>
      <c r="P21" s="4"/>
      <c r="Q21" s="4"/>
      <c r="R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M21" s="4"/>
      <c r="AN21" s="4" t="s">
        <v>85</v>
      </c>
      <c r="AO21" s="4">
        <v>1</v>
      </c>
      <c r="AP21" s="4">
        <v>1</v>
      </c>
      <c r="AQ21" s="4">
        <f t="shared" si="8"/>
        <v>1</v>
      </c>
      <c r="AR21" s="4"/>
      <c r="AS21" s="4"/>
    </row>
    <row r="22" spans="1:45" ht="41.25" customHeight="1" x14ac:dyDescent="0.2">
      <c r="A22" s="4">
        <v>19</v>
      </c>
      <c r="B22" s="10">
        <v>45897</v>
      </c>
      <c r="C22" s="4">
        <v>7</v>
      </c>
      <c r="D22" s="4"/>
      <c r="E22" s="4">
        <f t="shared" si="3"/>
        <v>80</v>
      </c>
      <c r="F22" s="4">
        <v>13.5</v>
      </c>
      <c r="G22" s="4"/>
      <c r="H22" s="4">
        <f t="shared" si="4"/>
        <v>6.5</v>
      </c>
      <c r="I22" s="4">
        <f t="shared" si="0"/>
        <v>66.5</v>
      </c>
      <c r="J22" s="4"/>
      <c r="K22" s="4">
        <v>4</v>
      </c>
      <c r="L22" s="4">
        <f t="shared" si="5"/>
        <v>94</v>
      </c>
      <c r="N22" s="4"/>
      <c r="O22" s="4"/>
      <c r="P22" s="4"/>
      <c r="Q22" s="4"/>
      <c r="R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M22" s="4"/>
      <c r="AN22" s="4" t="s">
        <v>62</v>
      </c>
      <c r="AO22" s="4">
        <v>4</v>
      </c>
      <c r="AP22" s="4">
        <v>1</v>
      </c>
      <c r="AQ22" s="4">
        <f t="shared" si="8"/>
        <v>4</v>
      </c>
      <c r="AR22" s="4"/>
      <c r="AS22" s="4"/>
    </row>
    <row r="23" spans="1:45" ht="41.25" customHeight="1" x14ac:dyDescent="0.2">
      <c r="A23" s="4">
        <v>20</v>
      </c>
      <c r="B23" s="10">
        <v>45898</v>
      </c>
      <c r="C23" s="4">
        <v>10</v>
      </c>
      <c r="D23" s="4"/>
      <c r="E23" s="4">
        <f t="shared" si="3"/>
        <v>90</v>
      </c>
      <c r="F23" s="4">
        <v>16.5</v>
      </c>
      <c r="G23" s="4"/>
      <c r="H23" s="4">
        <f t="shared" si="4"/>
        <v>7</v>
      </c>
      <c r="I23" s="4">
        <f t="shared" si="0"/>
        <v>73.5</v>
      </c>
      <c r="J23" s="4"/>
      <c r="K23" s="4">
        <v>3</v>
      </c>
      <c r="L23" s="4">
        <f t="shared" si="5"/>
        <v>97</v>
      </c>
      <c r="N23" s="4"/>
      <c r="O23" s="4"/>
      <c r="P23" s="4"/>
      <c r="Q23" s="4"/>
      <c r="R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M23" s="4"/>
      <c r="AN23" s="4" t="s">
        <v>63</v>
      </c>
      <c r="AO23" s="11">
        <v>150</v>
      </c>
      <c r="AP23" s="4">
        <v>1</v>
      </c>
      <c r="AQ23" s="11">
        <f t="shared" si="8"/>
        <v>150</v>
      </c>
      <c r="AR23" s="4"/>
      <c r="AS23" s="4"/>
    </row>
    <row r="24" spans="1:45" ht="41.25" customHeight="1" x14ac:dyDescent="0.2">
      <c r="A24" s="4">
        <v>21</v>
      </c>
      <c r="B24" s="10">
        <v>45899</v>
      </c>
      <c r="C24" s="4">
        <v>9</v>
      </c>
      <c r="D24" s="4">
        <v>5</v>
      </c>
      <c r="E24" s="4">
        <f t="shared" si="3"/>
        <v>104</v>
      </c>
      <c r="F24" s="4">
        <v>18</v>
      </c>
      <c r="G24" s="4">
        <v>5</v>
      </c>
      <c r="H24" s="4">
        <f t="shared" si="4"/>
        <v>7.5</v>
      </c>
      <c r="I24" s="4">
        <f t="shared" si="0"/>
        <v>81</v>
      </c>
      <c r="J24" s="4"/>
      <c r="K24" s="4">
        <v>4</v>
      </c>
      <c r="L24" s="4">
        <f t="shared" si="5"/>
        <v>101</v>
      </c>
      <c r="N24" s="4"/>
      <c r="O24" s="4"/>
      <c r="P24" s="4"/>
      <c r="Q24" s="4"/>
      <c r="R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M24" s="48">
        <v>12</v>
      </c>
      <c r="AN24" s="4" t="s">
        <v>84</v>
      </c>
      <c r="AO24" s="20">
        <v>200</v>
      </c>
      <c r="AP24" s="4">
        <v>1</v>
      </c>
      <c r="AQ24" s="20">
        <f t="shared" si="8"/>
        <v>200</v>
      </c>
      <c r="AR24" s="4"/>
      <c r="AS24" s="4"/>
    </row>
    <row r="25" spans="1:45" ht="41.25" customHeight="1" x14ac:dyDescent="0.2">
      <c r="A25" s="4">
        <v>22</v>
      </c>
      <c r="B25" s="10">
        <v>45900</v>
      </c>
      <c r="C25" s="4"/>
      <c r="D25" s="4"/>
      <c r="E25" s="4">
        <f t="shared" si="3"/>
        <v>104</v>
      </c>
      <c r="F25" s="4">
        <v>12</v>
      </c>
      <c r="G25" s="4">
        <v>3</v>
      </c>
      <c r="H25" s="4">
        <f t="shared" si="4"/>
        <v>8</v>
      </c>
      <c r="I25" s="4">
        <f t="shared" si="0"/>
        <v>89</v>
      </c>
      <c r="J25" s="4"/>
      <c r="K25" s="4">
        <v>6</v>
      </c>
      <c r="L25" s="4">
        <f t="shared" si="5"/>
        <v>107</v>
      </c>
      <c r="N25" s="4"/>
      <c r="O25" s="4"/>
      <c r="P25" s="4"/>
      <c r="Q25" s="4"/>
      <c r="R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M25" s="48"/>
      <c r="AN25" s="4" t="s">
        <v>85</v>
      </c>
      <c r="AO25" s="4">
        <v>1</v>
      </c>
      <c r="AP25" s="4">
        <v>1</v>
      </c>
      <c r="AQ25" s="4">
        <f t="shared" si="8"/>
        <v>1</v>
      </c>
      <c r="AR25" s="4"/>
      <c r="AS25" s="4"/>
    </row>
    <row r="26" spans="1:45" ht="41.25" customHeight="1" x14ac:dyDescent="0.2">
      <c r="A26" s="4">
        <v>23</v>
      </c>
      <c r="B26" s="10">
        <v>45901</v>
      </c>
      <c r="C26" s="4">
        <v>15</v>
      </c>
      <c r="D26" s="4"/>
      <c r="E26" s="4">
        <f t="shared" si="3"/>
        <v>119</v>
      </c>
      <c r="F26" s="4">
        <v>21</v>
      </c>
      <c r="G26" s="4">
        <v>1</v>
      </c>
      <c r="H26" s="4">
        <f t="shared" si="4"/>
        <v>8</v>
      </c>
      <c r="I26" s="4">
        <f t="shared" si="0"/>
        <v>97</v>
      </c>
      <c r="J26" s="4"/>
      <c r="K26" s="4">
        <v>1</v>
      </c>
      <c r="L26" s="4">
        <f t="shared" si="5"/>
        <v>108</v>
      </c>
      <c r="N26" s="4"/>
      <c r="O26" s="4"/>
      <c r="P26" s="4"/>
      <c r="Q26" s="4"/>
      <c r="R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M26" s="48"/>
      <c r="AN26" s="4" t="s">
        <v>67</v>
      </c>
      <c r="AO26" s="21">
        <v>2</v>
      </c>
      <c r="AP26" s="4">
        <v>1</v>
      </c>
      <c r="AQ26" s="21">
        <f t="shared" ref="AQ26" si="9">AO26*AP26</f>
        <v>2</v>
      </c>
      <c r="AR26" s="4"/>
      <c r="AS26" s="4"/>
    </row>
    <row r="27" spans="1:45" ht="41.25" customHeight="1" x14ac:dyDescent="0.2">
      <c r="A27" s="4">
        <v>24</v>
      </c>
      <c r="B27" s="10">
        <v>45902</v>
      </c>
      <c r="C27" s="4"/>
      <c r="D27" s="4"/>
      <c r="E27" s="4">
        <f t="shared" si="3"/>
        <v>119</v>
      </c>
      <c r="F27" s="4">
        <v>14</v>
      </c>
      <c r="G27" s="4"/>
      <c r="H27" s="4">
        <f t="shared" si="4"/>
        <v>8</v>
      </c>
      <c r="I27" s="4">
        <f t="shared" si="0"/>
        <v>105</v>
      </c>
      <c r="J27" s="4"/>
      <c r="K27" s="4">
        <v>3</v>
      </c>
      <c r="L27" s="4">
        <f t="shared" si="5"/>
        <v>111</v>
      </c>
      <c r="N27" s="4"/>
      <c r="O27" s="4"/>
      <c r="P27" s="4"/>
      <c r="Q27" s="4"/>
      <c r="R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M27" s="48"/>
      <c r="AN27" s="11" t="s">
        <v>48</v>
      </c>
      <c r="AO27" s="11">
        <v>100</v>
      </c>
      <c r="AP27" s="4">
        <v>1</v>
      </c>
      <c r="AQ27" s="11">
        <f>AO27*AP27</f>
        <v>100</v>
      </c>
      <c r="AR27" s="4"/>
      <c r="AS27" s="4"/>
    </row>
    <row r="28" spans="1:45" ht="41.25" customHeight="1" x14ac:dyDescent="0.2">
      <c r="A28" s="4">
        <v>25</v>
      </c>
      <c r="B28" s="10">
        <v>45903</v>
      </c>
      <c r="C28" s="4">
        <v>15</v>
      </c>
      <c r="D28" s="4"/>
      <c r="E28" s="4">
        <f t="shared" si="3"/>
        <v>134</v>
      </c>
      <c r="F28" s="4">
        <v>20.5</v>
      </c>
      <c r="G28" s="4"/>
      <c r="H28" s="4">
        <f t="shared" si="4"/>
        <v>8.5</v>
      </c>
      <c r="I28" s="4">
        <f t="shared" si="0"/>
        <v>113.5</v>
      </c>
      <c r="J28" s="4"/>
      <c r="K28" s="4">
        <v>4</v>
      </c>
      <c r="L28" s="4">
        <f t="shared" si="5"/>
        <v>115</v>
      </c>
      <c r="N28" s="4"/>
      <c r="O28" s="4"/>
      <c r="P28" s="4"/>
      <c r="Q28" s="4"/>
      <c r="R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M28" s="48" t="s">
        <v>107</v>
      </c>
      <c r="AN28" s="4" t="s">
        <v>67</v>
      </c>
      <c r="AO28" s="21">
        <v>1.5</v>
      </c>
      <c r="AP28" s="4">
        <v>3</v>
      </c>
      <c r="AQ28" s="21">
        <f>AO28*AP28</f>
        <v>4.5</v>
      </c>
      <c r="AR28" s="4"/>
      <c r="AS28" s="4"/>
    </row>
    <row r="29" spans="1:45" ht="41.25" customHeight="1" x14ac:dyDescent="0.2">
      <c r="A29" s="4">
        <v>26</v>
      </c>
      <c r="B29" s="10">
        <v>45904</v>
      </c>
      <c r="C29" s="4"/>
      <c r="D29" s="4"/>
      <c r="E29" s="4">
        <f t="shared" si="3"/>
        <v>134</v>
      </c>
      <c r="F29" s="4">
        <v>12</v>
      </c>
      <c r="G29" s="4"/>
      <c r="H29" s="4">
        <f t="shared" si="4"/>
        <v>8.5</v>
      </c>
      <c r="I29" s="4">
        <f t="shared" si="0"/>
        <v>122</v>
      </c>
      <c r="J29" s="4"/>
      <c r="K29" s="4">
        <v>2</v>
      </c>
      <c r="L29" s="4">
        <f t="shared" si="5"/>
        <v>117</v>
      </c>
      <c r="N29" s="4"/>
      <c r="O29" s="4"/>
      <c r="P29" s="4"/>
      <c r="Q29" s="4"/>
      <c r="R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M29" s="48"/>
      <c r="AN29" s="4" t="s">
        <v>48</v>
      </c>
      <c r="AO29" s="11">
        <v>75</v>
      </c>
      <c r="AP29" s="4">
        <v>3</v>
      </c>
      <c r="AQ29" s="11">
        <f>AO29*AP29</f>
        <v>225</v>
      </c>
      <c r="AR29" s="4"/>
      <c r="AS29" s="4"/>
    </row>
    <row r="30" spans="1:45" ht="41.25" customHeight="1" x14ac:dyDescent="0.2">
      <c r="A30" s="4">
        <v>27</v>
      </c>
      <c r="B30" s="10">
        <v>45905</v>
      </c>
      <c r="C30" s="4">
        <v>15</v>
      </c>
      <c r="D30" s="4"/>
      <c r="E30" s="4">
        <f t="shared" si="3"/>
        <v>149</v>
      </c>
      <c r="F30" s="4">
        <v>18</v>
      </c>
      <c r="G30" s="4"/>
      <c r="H30" s="4">
        <f t="shared" si="4"/>
        <v>9</v>
      </c>
      <c r="I30" s="4">
        <f t="shared" si="0"/>
        <v>131</v>
      </c>
      <c r="J30" s="4"/>
      <c r="K30" s="4">
        <v>3</v>
      </c>
      <c r="L30" s="4">
        <f t="shared" si="5"/>
        <v>120</v>
      </c>
      <c r="N30" s="4"/>
      <c r="O30" s="4"/>
      <c r="P30" s="4"/>
      <c r="Q30" s="4"/>
      <c r="R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M30" s="48">
        <v>19</v>
      </c>
      <c r="AN30" s="4" t="s">
        <v>84</v>
      </c>
      <c r="AO30" s="20">
        <v>250</v>
      </c>
      <c r="AP30" s="4">
        <v>1</v>
      </c>
      <c r="AQ30" s="20">
        <f>AO30*AP30</f>
        <v>250</v>
      </c>
      <c r="AR30" s="4"/>
      <c r="AS30" s="4"/>
    </row>
    <row r="31" spans="1:45" ht="41.25" customHeight="1" x14ac:dyDescent="0.2">
      <c r="A31" s="4">
        <v>28</v>
      </c>
      <c r="B31" s="10">
        <v>45906</v>
      </c>
      <c r="C31" s="4">
        <v>15</v>
      </c>
      <c r="D31" s="4"/>
      <c r="E31" s="4">
        <f t="shared" si="3"/>
        <v>164</v>
      </c>
      <c r="F31" s="4">
        <v>23</v>
      </c>
      <c r="G31" s="4"/>
      <c r="H31" s="4">
        <f t="shared" si="4"/>
        <v>10</v>
      </c>
      <c r="I31" s="4">
        <f t="shared" si="0"/>
        <v>141</v>
      </c>
      <c r="J31" s="4"/>
      <c r="K31" s="4">
        <v>5</v>
      </c>
      <c r="L31" s="4">
        <f t="shared" si="5"/>
        <v>125</v>
      </c>
      <c r="N31" s="4"/>
      <c r="O31" s="4"/>
      <c r="P31" s="4"/>
      <c r="Q31" s="4"/>
      <c r="R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M31" s="48"/>
      <c r="AN31" s="4" t="s">
        <v>85</v>
      </c>
      <c r="AO31" s="4">
        <v>1.5</v>
      </c>
      <c r="AP31" s="4">
        <v>1</v>
      </c>
      <c r="AQ31" s="4">
        <f t="shared" ref="AQ31:AQ32" si="10">AO31*AP31</f>
        <v>1.5</v>
      </c>
      <c r="AR31" s="4"/>
      <c r="AS31" s="4"/>
    </row>
    <row r="32" spans="1:45" ht="41.25" customHeight="1" x14ac:dyDescent="0.2">
      <c r="A32" s="4">
        <v>29</v>
      </c>
      <c r="B32" s="10">
        <v>45907</v>
      </c>
      <c r="C32" s="4"/>
      <c r="D32" s="4"/>
      <c r="E32" s="4">
        <f t="shared" si="3"/>
        <v>164</v>
      </c>
      <c r="F32" s="4">
        <v>13</v>
      </c>
      <c r="G32" s="4"/>
      <c r="H32" s="4">
        <f t="shared" si="4"/>
        <v>10</v>
      </c>
      <c r="I32" s="4">
        <f t="shared" si="0"/>
        <v>151</v>
      </c>
      <c r="J32" s="4"/>
      <c r="K32" s="4">
        <v>2</v>
      </c>
      <c r="L32" s="4">
        <f t="shared" si="5"/>
        <v>127</v>
      </c>
      <c r="N32" s="4"/>
      <c r="O32" s="4"/>
      <c r="P32" s="4"/>
      <c r="Q32" s="4"/>
      <c r="R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M32" s="48"/>
      <c r="AN32" s="4" t="s">
        <v>69</v>
      </c>
      <c r="AO32" s="4">
        <v>4</v>
      </c>
      <c r="AP32" s="4">
        <v>1</v>
      </c>
      <c r="AQ32" s="4">
        <f t="shared" si="10"/>
        <v>4</v>
      </c>
      <c r="AR32" s="4"/>
      <c r="AS32" s="4"/>
    </row>
    <row r="33" spans="1:45" ht="41.25" customHeight="1" x14ac:dyDescent="0.2">
      <c r="A33" s="4">
        <v>30</v>
      </c>
      <c r="B33" s="10">
        <v>45908</v>
      </c>
      <c r="C33" s="4">
        <v>13</v>
      </c>
      <c r="D33" s="4">
        <v>6</v>
      </c>
      <c r="E33" s="4">
        <f t="shared" si="3"/>
        <v>183</v>
      </c>
      <c r="F33" s="4">
        <v>16</v>
      </c>
      <c r="G33" s="4">
        <v>6</v>
      </c>
      <c r="H33" s="4">
        <f t="shared" si="4"/>
        <v>10</v>
      </c>
      <c r="I33" s="4">
        <f t="shared" si="0"/>
        <v>161</v>
      </c>
      <c r="J33" s="4"/>
      <c r="K33" s="4">
        <v>3</v>
      </c>
      <c r="L33" s="4">
        <f t="shared" si="5"/>
        <v>130</v>
      </c>
      <c r="N33" s="4"/>
      <c r="O33" s="4"/>
      <c r="P33" s="4"/>
      <c r="Q33" s="4"/>
      <c r="R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M33" s="48"/>
      <c r="AN33" s="4" t="s">
        <v>63</v>
      </c>
      <c r="AO33" s="11">
        <v>280</v>
      </c>
      <c r="AP33" s="4">
        <v>1</v>
      </c>
      <c r="AQ33" s="11">
        <f>AO33*AP33</f>
        <v>280</v>
      </c>
      <c r="AR33" s="4"/>
      <c r="AS33" s="4"/>
    </row>
    <row r="34" spans="1:45" ht="41.25" customHeight="1" x14ac:dyDescent="0.2">
      <c r="A34" s="4">
        <v>31</v>
      </c>
      <c r="B34" s="10">
        <v>45909</v>
      </c>
      <c r="C34" s="4">
        <v>11</v>
      </c>
      <c r="D34" s="4"/>
      <c r="E34" s="4">
        <f t="shared" si="3"/>
        <v>194</v>
      </c>
      <c r="F34" s="4">
        <v>20</v>
      </c>
      <c r="G34" s="4">
        <v>3</v>
      </c>
      <c r="H34" s="4">
        <f t="shared" si="4"/>
        <v>10</v>
      </c>
      <c r="I34" s="4">
        <f t="shared" si="0"/>
        <v>171</v>
      </c>
      <c r="J34" s="4"/>
      <c r="K34" s="4">
        <v>7</v>
      </c>
      <c r="L34" s="4">
        <f t="shared" si="5"/>
        <v>137</v>
      </c>
      <c r="N34" s="4"/>
      <c r="O34" s="4"/>
      <c r="P34" s="4"/>
      <c r="Q34" s="4"/>
      <c r="R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M34" s="48" t="s">
        <v>108</v>
      </c>
      <c r="AN34" s="4" t="s">
        <v>67</v>
      </c>
      <c r="AO34" s="21">
        <v>2</v>
      </c>
      <c r="AP34" s="4">
        <v>1</v>
      </c>
      <c r="AQ34" s="21">
        <f>AO34*AP34</f>
        <v>2</v>
      </c>
      <c r="AR34" s="4"/>
      <c r="AS34" s="4"/>
    </row>
    <row r="35" spans="1:45" ht="41.25" customHeight="1" x14ac:dyDescent="0.2">
      <c r="A35" s="4">
        <v>32</v>
      </c>
      <c r="B35" s="10">
        <v>45910</v>
      </c>
      <c r="C35" s="4">
        <v>12</v>
      </c>
      <c r="D35" s="4">
        <v>4</v>
      </c>
      <c r="E35" s="4">
        <f t="shared" si="3"/>
        <v>210</v>
      </c>
      <c r="F35" s="4">
        <v>24</v>
      </c>
      <c r="G35" s="4">
        <v>4</v>
      </c>
      <c r="H35" s="4">
        <f t="shared" si="4"/>
        <v>11</v>
      </c>
      <c r="I35" s="4">
        <f t="shared" si="0"/>
        <v>182</v>
      </c>
      <c r="J35" s="4"/>
      <c r="K35" s="4">
        <v>3</v>
      </c>
      <c r="L35" s="4">
        <f t="shared" si="5"/>
        <v>140</v>
      </c>
      <c r="N35" s="4"/>
      <c r="O35" s="4"/>
      <c r="P35" s="4"/>
      <c r="Q35" s="4"/>
      <c r="R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M35" s="48"/>
      <c r="AN35" s="4" t="s">
        <v>48</v>
      </c>
      <c r="AO35" s="11">
        <v>140</v>
      </c>
      <c r="AP35" s="4">
        <v>1</v>
      </c>
      <c r="AQ35" s="11">
        <f>AO35*AP35</f>
        <v>140</v>
      </c>
      <c r="AR35" s="4"/>
      <c r="AS35" s="4"/>
    </row>
    <row r="36" spans="1:45" ht="41.25" customHeight="1" x14ac:dyDescent="0.2">
      <c r="A36" s="4">
        <v>33</v>
      </c>
      <c r="B36" s="10">
        <v>45911</v>
      </c>
      <c r="C36" s="4"/>
      <c r="D36" s="4"/>
      <c r="E36" s="4">
        <f t="shared" si="3"/>
        <v>210</v>
      </c>
      <c r="F36" s="4">
        <v>15</v>
      </c>
      <c r="G36" s="4">
        <v>1</v>
      </c>
      <c r="H36" s="4">
        <f t="shared" si="4"/>
        <v>12</v>
      </c>
      <c r="I36" s="4">
        <f t="shared" si="0"/>
        <v>194</v>
      </c>
      <c r="J36" s="4"/>
      <c r="K36" s="4">
        <v>4</v>
      </c>
      <c r="L36" s="4">
        <f t="shared" si="5"/>
        <v>144</v>
      </c>
      <c r="N36" s="4"/>
      <c r="O36" s="4"/>
      <c r="P36" s="4"/>
      <c r="Q36" s="4"/>
      <c r="R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M36" s="48" t="s">
        <v>68</v>
      </c>
      <c r="AN36" s="4" t="s">
        <v>97</v>
      </c>
      <c r="AO36" s="20">
        <v>200</v>
      </c>
      <c r="AP36" s="4">
        <v>3</v>
      </c>
      <c r="AQ36" s="20">
        <f t="shared" ref="AQ36:AQ54" si="11">AO36*AP36</f>
        <v>600</v>
      </c>
      <c r="AR36" s="4"/>
      <c r="AS36" s="4"/>
    </row>
    <row r="37" spans="1:45" ht="41.25" customHeight="1" x14ac:dyDescent="0.2">
      <c r="A37" s="4">
        <v>34</v>
      </c>
      <c r="B37" s="10">
        <v>45912</v>
      </c>
      <c r="C37" s="4">
        <v>20</v>
      </c>
      <c r="D37" s="4"/>
      <c r="E37" s="4">
        <f t="shared" si="3"/>
        <v>230</v>
      </c>
      <c r="F37" s="4">
        <v>24</v>
      </c>
      <c r="G37" s="4"/>
      <c r="H37" s="4">
        <f t="shared" si="4"/>
        <v>12</v>
      </c>
      <c r="I37" s="4">
        <f t="shared" si="0"/>
        <v>206</v>
      </c>
      <c r="J37" s="4"/>
      <c r="K37" s="4">
        <v>3</v>
      </c>
      <c r="L37" s="4">
        <f t="shared" si="5"/>
        <v>147</v>
      </c>
      <c r="N37" s="4"/>
      <c r="O37" s="4"/>
      <c r="P37" s="4"/>
      <c r="Q37" s="4"/>
      <c r="R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M37" s="48"/>
      <c r="AN37" s="4" t="s">
        <v>98</v>
      </c>
      <c r="AO37" s="4">
        <v>100</v>
      </c>
      <c r="AP37" s="4">
        <v>3</v>
      </c>
      <c r="AQ37" s="11">
        <f t="shared" si="11"/>
        <v>300</v>
      </c>
      <c r="AR37" s="4"/>
      <c r="AS37" s="4"/>
    </row>
    <row r="38" spans="1:45" ht="41.25" customHeight="1" x14ac:dyDescent="0.2">
      <c r="A38" s="4">
        <v>35</v>
      </c>
      <c r="B38" s="10">
        <v>45913</v>
      </c>
      <c r="C38" s="22"/>
      <c r="D38" s="4"/>
      <c r="E38" s="4">
        <f t="shared" si="3"/>
        <v>230</v>
      </c>
      <c r="F38" s="4">
        <v>12</v>
      </c>
      <c r="G38" s="4"/>
      <c r="H38" s="4">
        <f t="shared" si="4"/>
        <v>12</v>
      </c>
      <c r="I38" s="4">
        <f t="shared" si="0"/>
        <v>218</v>
      </c>
      <c r="J38" s="4"/>
      <c r="K38" s="4">
        <v>9</v>
      </c>
      <c r="L38" s="4">
        <f t="shared" si="5"/>
        <v>156</v>
      </c>
      <c r="N38" s="4"/>
      <c r="O38" s="4"/>
      <c r="P38" s="4"/>
      <c r="Q38" s="4"/>
      <c r="R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M38" s="48"/>
      <c r="AN38" s="4" t="s">
        <v>47</v>
      </c>
      <c r="AO38" s="20">
        <v>300</v>
      </c>
      <c r="AP38" s="4">
        <v>3</v>
      </c>
      <c r="AQ38" s="20">
        <f t="shared" si="11"/>
        <v>900</v>
      </c>
      <c r="AR38" s="4"/>
      <c r="AS38" s="4"/>
    </row>
    <row r="39" spans="1:45" ht="41.25" customHeight="1" x14ac:dyDescent="0.2">
      <c r="A39" s="4">
        <v>36</v>
      </c>
      <c r="B39" s="10">
        <v>45914</v>
      </c>
      <c r="C39" s="4">
        <v>15</v>
      </c>
      <c r="D39" s="4"/>
      <c r="E39" s="4">
        <f t="shared" si="3"/>
        <v>245</v>
      </c>
      <c r="F39" s="4">
        <v>15</v>
      </c>
      <c r="G39" s="4"/>
      <c r="H39" s="4">
        <f t="shared" si="4"/>
        <v>12</v>
      </c>
      <c r="I39" s="4">
        <f t="shared" si="0"/>
        <v>230</v>
      </c>
      <c r="J39" s="4"/>
      <c r="K39" s="4">
        <v>6</v>
      </c>
      <c r="L39" s="4">
        <f t="shared" si="5"/>
        <v>162</v>
      </c>
      <c r="N39" s="4"/>
      <c r="O39" s="4"/>
      <c r="P39" s="4"/>
      <c r="Q39" s="4"/>
      <c r="R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M39" s="4" t="s">
        <v>110</v>
      </c>
      <c r="AN39" s="4" t="s">
        <v>109</v>
      </c>
      <c r="AO39" s="11">
        <v>200</v>
      </c>
      <c r="AP39" s="4">
        <v>2</v>
      </c>
      <c r="AQ39" s="11">
        <f t="shared" si="11"/>
        <v>400</v>
      </c>
      <c r="AR39" s="4"/>
      <c r="AS39" s="4"/>
    </row>
    <row r="40" spans="1:45" ht="41.25" customHeight="1" x14ac:dyDescent="0.2">
      <c r="A40" s="4">
        <v>37</v>
      </c>
      <c r="B40" s="10">
        <v>45915</v>
      </c>
      <c r="C40" s="4">
        <v>10</v>
      </c>
      <c r="D40" s="4"/>
      <c r="E40" s="4">
        <f t="shared" si="3"/>
        <v>255</v>
      </c>
      <c r="F40" s="4">
        <v>15</v>
      </c>
      <c r="G40" s="4"/>
      <c r="H40" s="4">
        <f t="shared" si="4"/>
        <v>10</v>
      </c>
      <c r="I40" s="4">
        <f t="shared" si="0"/>
        <v>240</v>
      </c>
      <c r="J40" s="4"/>
      <c r="K40" s="4">
        <v>8</v>
      </c>
      <c r="L40" s="4">
        <f t="shared" si="5"/>
        <v>170</v>
      </c>
      <c r="N40" s="4"/>
      <c r="O40" s="4"/>
      <c r="P40" s="4"/>
      <c r="Q40" s="4"/>
      <c r="R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M40" s="48">
        <v>27</v>
      </c>
      <c r="AN40" s="4" t="s">
        <v>82</v>
      </c>
      <c r="AO40" s="20">
        <v>350</v>
      </c>
      <c r="AP40" s="4">
        <v>1</v>
      </c>
      <c r="AQ40" s="20">
        <f t="shared" si="11"/>
        <v>350</v>
      </c>
      <c r="AR40" s="4"/>
      <c r="AS40" s="4"/>
    </row>
    <row r="41" spans="1:45" ht="41.25" customHeight="1" x14ac:dyDescent="0.2">
      <c r="A41" s="4">
        <v>38</v>
      </c>
      <c r="B41" s="10">
        <v>45916</v>
      </c>
      <c r="C41" s="4">
        <v>5</v>
      </c>
      <c r="D41" s="4"/>
      <c r="E41" s="4">
        <f t="shared" si="3"/>
        <v>260</v>
      </c>
      <c r="F41" s="4">
        <v>13</v>
      </c>
      <c r="G41" s="4"/>
      <c r="H41" s="4">
        <f t="shared" si="4"/>
        <v>7</v>
      </c>
      <c r="I41" s="4">
        <f t="shared" si="0"/>
        <v>247</v>
      </c>
      <c r="J41" s="4"/>
      <c r="K41" s="4">
        <v>8</v>
      </c>
      <c r="L41" s="4">
        <f t="shared" si="5"/>
        <v>178</v>
      </c>
      <c r="N41" s="4"/>
      <c r="O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M41" s="48"/>
      <c r="AN41" s="4" t="s">
        <v>67</v>
      </c>
      <c r="AO41" s="21">
        <v>3</v>
      </c>
      <c r="AP41" s="4">
        <v>1</v>
      </c>
      <c r="AQ41" s="21">
        <f t="shared" si="11"/>
        <v>3</v>
      </c>
      <c r="AR41" s="4"/>
      <c r="AS41" s="4"/>
    </row>
    <row r="42" spans="1:45" ht="41.25" customHeight="1" x14ac:dyDescent="0.2">
      <c r="A42" s="4">
        <v>39</v>
      </c>
      <c r="B42" s="10">
        <v>45917</v>
      </c>
      <c r="C42" s="4"/>
      <c r="D42" s="4"/>
      <c r="E42" s="4">
        <f t="shared" si="3"/>
        <v>260</v>
      </c>
      <c r="F42" s="4">
        <v>4</v>
      </c>
      <c r="G42" s="4"/>
      <c r="H42" s="4">
        <f t="shared" si="4"/>
        <v>9</v>
      </c>
      <c r="I42" s="4">
        <f t="shared" si="0"/>
        <v>256</v>
      </c>
      <c r="J42" s="4"/>
      <c r="K42" s="4">
        <v>13</v>
      </c>
      <c r="L42" s="4">
        <f t="shared" si="5"/>
        <v>191</v>
      </c>
      <c r="N42" s="4"/>
      <c r="O42" s="4"/>
      <c r="P42" s="4"/>
      <c r="Q42" s="4"/>
      <c r="R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M42" s="48"/>
      <c r="AN42" s="4" t="s">
        <v>48</v>
      </c>
      <c r="AO42" s="11">
        <v>180</v>
      </c>
      <c r="AP42" s="4">
        <v>1</v>
      </c>
      <c r="AQ42" s="11">
        <f t="shared" si="11"/>
        <v>180</v>
      </c>
      <c r="AR42" s="4"/>
      <c r="AS42" s="4"/>
    </row>
    <row r="43" spans="1:45" ht="41.25" customHeight="1" x14ac:dyDescent="0.2">
      <c r="A43" s="4">
        <v>40</v>
      </c>
      <c r="B43" s="10">
        <v>45918</v>
      </c>
      <c r="C43" s="4">
        <v>5</v>
      </c>
      <c r="D43" s="4"/>
      <c r="E43" s="4">
        <f t="shared" si="3"/>
        <v>265</v>
      </c>
      <c r="F43" s="4">
        <v>3</v>
      </c>
      <c r="G43" s="4"/>
      <c r="H43" s="4">
        <f t="shared" si="4"/>
        <v>6</v>
      </c>
      <c r="I43" s="4">
        <f t="shared" si="0"/>
        <v>262</v>
      </c>
      <c r="J43" s="4"/>
      <c r="K43" s="4">
        <v>4</v>
      </c>
      <c r="L43" s="4">
        <f t="shared" si="5"/>
        <v>195</v>
      </c>
      <c r="N43" s="4"/>
      <c r="O43" s="4"/>
      <c r="P43" s="4"/>
      <c r="Q43" s="4"/>
      <c r="R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M43" s="48">
        <v>28</v>
      </c>
      <c r="AN43" s="4" t="s">
        <v>82</v>
      </c>
      <c r="AO43" s="4">
        <v>350</v>
      </c>
      <c r="AP43" s="4">
        <v>1</v>
      </c>
      <c r="AQ43" s="11">
        <f t="shared" si="11"/>
        <v>350</v>
      </c>
      <c r="AR43" s="4"/>
      <c r="AS43" s="4"/>
    </row>
    <row r="44" spans="1:45" ht="41.25" customHeight="1" x14ac:dyDescent="0.2">
      <c r="A44" s="4">
        <v>41</v>
      </c>
      <c r="B44" s="10">
        <v>45919</v>
      </c>
      <c r="C44" s="4">
        <v>8</v>
      </c>
      <c r="D44" s="4"/>
      <c r="E44" s="4">
        <f t="shared" si="3"/>
        <v>273</v>
      </c>
      <c r="F44" s="4">
        <v>7</v>
      </c>
      <c r="G44" s="4"/>
      <c r="H44" s="4">
        <f t="shared" si="4"/>
        <v>4</v>
      </c>
      <c r="I44" s="4">
        <f t="shared" si="0"/>
        <v>266</v>
      </c>
      <c r="J44" s="4"/>
      <c r="K44" s="4">
        <v>3</v>
      </c>
      <c r="L44" s="4">
        <f t="shared" si="5"/>
        <v>198</v>
      </c>
      <c r="N44" s="4"/>
      <c r="O44" s="4"/>
      <c r="P44" s="4"/>
      <c r="Q44" s="4"/>
      <c r="R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M44" s="48"/>
      <c r="AN44" s="4" t="s">
        <v>67</v>
      </c>
      <c r="AO44" s="21">
        <v>3</v>
      </c>
      <c r="AP44" s="4">
        <v>1</v>
      </c>
      <c r="AQ44" s="21">
        <f t="shared" si="11"/>
        <v>3</v>
      </c>
      <c r="AR44" s="4"/>
      <c r="AS44" s="4"/>
    </row>
    <row r="45" spans="1:45" ht="41.25" customHeight="1" x14ac:dyDescent="0.2">
      <c r="A45" s="4">
        <v>42</v>
      </c>
      <c r="B45" s="10">
        <v>45920</v>
      </c>
      <c r="C45" s="4"/>
      <c r="D45" s="4"/>
      <c r="E45" s="4">
        <f t="shared" si="3"/>
        <v>273</v>
      </c>
      <c r="F45" s="4">
        <v>4</v>
      </c>
      <c r="G45" s="4"/>
      <c r="H45" s="4">
        <f t="shared" si="4"/>
        <v>3</v>
      </c>
      <c r="I45" s="4">
        <f t="shared" si="0"/>
        <v>269</v>
      </c>
      <c r="J45" s="4"/>
      <c r="K45" s="4">
        <v>3</v>
      </c>
      <c r="L45" s="4">
        <f t="shared" si="5"/>
        <v>201</v>
      </c>
      <c r="N45" s="4"/>
      <c r="O45" s="4"/>
      <c r="P45" s="4"/>
      <c r="Q45" s="4"/>
      <c r="R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M45" s="48"/>
      <c r="AN45" s="4" t="s">
        <v>111</v>
      </c>
      <c r="AO45" s="11">
        <v>180</v>
      </c>
      <c r="AP45" s="4">
        <v>1</v>
      </c>
      <c r="AQ45" s="11">
        <f t="shared" si="11"/>
        <v>180</v>
      </c>
      <c r="AR45" s="4"/>
      <c r="AS45" s="4"/>
    </row>
    <row r="46" spans="1:45" ht="41.25" customHeight="1" x14ac:dyDescent="0.2">
      <c r="A46" s="4">
        <v>43</v>
      </c>
      <c r="B46" s="10">
        <v>45921</v>
      </c>
      <c r="C46" s="4">
        <v>3</v>
      </c>
      <c r="D46" s="4"/>
      <c r="E46" s="4">
        <f t="shared" si="3"/>
        <v>276</v>
      </c>
      <c r="F46" s="4">
        <v>5</v>
      </c>
      <c r="G46" s="4"/>
      <c r="H46" s="4">
        <f t="shared" si="4"/>
        <v>2</v>
      </c>
      <c r="I46" s="4">
        <f t="shared" ref="I46:I53" si="12">E46-F46-G46</f>
        <v>271</v>
      </c>
      <c r="J46" s="4"/>
      <c r="K46" s="4">
        <v>1</v>
      </c>
      <c r="L46" s="4">
        <f t="shared" si="5"/>
        <v>202</v>
      </c>
      <c r="N46" s="4"/>
      <c r="O46" s="4"/>
      <c r="P46" s="4"/>
      <c r="Q46" s="4"/>
      <c r="R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M46" s="48"/>
      <c r="AN46" s="4" t="s">
        <v>69</v>
      </c>
      <c r="AO46" s="4">
        <v>3</v>
      </c>
      <c r="AP46" s="4">
        <v>1</v>
      </c>
      <c r="AQ46" s="11">
        <f t="shared" si="11"/>
        <v>3</v>
      </c>
      <c r="AR46" s="4"/>
      <c r="AS46" s="4"/>
    </row>
    <row r="47" spans="1:45" ht="41.25" customHeight="1" x14ac:dyDescent="0.2">
      <c r="A47" s="4">
        <v>44</v>
      </c>
      <c r="B47" s="10">
        <v>45922</v>
      </c>
      <c r="C47" s="4"/>
      <c r="D47" s="4"/>
      <c r="E47" s="4">
        <f t="shared" si="3"/>
        <v>276</v>
      </c>
      <c r="F47" s="4">
        <v>3</v>
      </c>
      <c r="G47" s="4"/>
      <c r="H47" s="4">
        <f t="shared" si="4"/>
        <v>2</v>
      </c>
      <c r="I47" s="4">
        <f t="shared" si="12"/>
        <v>273</v>
      </c>
      <c r="J47" s="4"/>
      <c r="K47" s="4">
        <v>2</v>
      </c>
      <c r="L47" s="4">
        <f t="shared" si="5"/>
        <v>204</v>
      </c>
      <c r="N47" s="4"/>
      <c r="O47" s="4"/>
      <c r="P47" s="4"/>
      <c r="Q47" s="4"/>
      <c r="R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M47" s="48"/>
      <c r="AN47" s="4" t="s">
        <v>63</v>
      </c>
      <c r="AO47" s="11">
        <v>380</v>
      </c>
      <c r="AP47" s="4">
        <v>1</v>
      </c>
      <c r="AQ47" s="11">
        <f t="shared" si="11"/>
        <v>380</v>
      </c>
      <c r="AR47" s="4"/>
      <c r="AS47" s="4"/>
    </row>
    <row r="48" spans="1:45" ht="41.25" customHeight="1" x14ac:dyDescent="0.2">
      <c r="A48" s="4">
        <v>45</v>
      </c>
      <c r="B48" s="10">
        <v>45923</v>
      </c>
      <c r="C48" s="4">
        <v>2</v>
      </c>
      <c r="D48" s="4"/>
      <c r="E48" s="4">
        <f t="shared" si="3"/>
        <v>278</v>
      </c>
      <c r="F48" s="4">
        <v>2</v>
      </c>
      <c r="G48" s="4"/>
      <c r="H48" s="4">
        <f t="shared" si="4"/>
        <v>3</v>
      </c>
      <c r="I48" s="4">
        <f t="shared" si="12"/>
        <v>276</v>
      </c>
      <c r="J48" s="4"/>
      <c r="K48" s="4">
        <v>1</v>
      </c>
      <c r="L48" s="4">
        <f t="shared" si="5"/>
        <v>205</v>
      </c>
      <c r="N48" s="4"/>
      <c r="O48" s="4"/>
      <c r="P48" s="4"/>
      <c r="Q48" s="4"/>
      <c r="R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M48" s="48">
        <v>29</v>
      </c>
      <c r="AN48" s="4" t="s">
        <v>82</v>
      </c>
      <c r="AO48" s="20">
        <v>350</v>
      </c>
      <c r="AP48" s="4">
        <v>1</v>
      </c>
      <c r="AQ48" s="20">
        <f t="shared" si="11"/>
        <v>350</v>
      </c>
      <c r="AR48" s="4"/>
      <c r="AS48" s="4"/>
    </row>
    <row r="49" spans="1:45" ht="41.25" customHeight="1" x14ac:dyDescent="0.2">
      <c r="A49" s="4">
        <v>46</v>
      </c>
      <c r="B49" s="10">
        <v>45924</v>
      </c>
      <c r="C49" s="4">
        <v>2</v>
      </c>
      <c r="D49" s="4"/>
      <c r="E49" s="4">
        <f t="shared" si="3"/>
        <v>280</v>
      </c>
      <c r="F49" s="4">
        <v>1.5</v>
      </c>
      <c r="G49" s="4"/>
      <c r="H49" s="4">
        <f t="shared" si="4"/>
        <v>2.5</v>
      </c>
      <c r="I49" s="4">
        <f t="shared" si="12"/>
        <v>278.5</v>
      </c>
      <c r="J49" s="4"/>
      <c r="K49" s="4">
        <v>4</v>
      </c>
      <c r="L49" s="4">
        <f t="shared" si="5"/>
        <v>209</v>
      </c>
      <c r="N49" s="4"/>
      <c r="O49" s="4"/>
      <c r="P49" s="4"/>
      <c r="Q49" s="4"/>
      <c r="R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M49" s="48"/>
      <c r="AN49" s="4" t="s">
        <v>67</v>
      </c>
      <c r="AO49" s="21">
        <v>3</v>
      </c>
      <c r="AP49" s="4">
        <v>1</v>
      </c>
      <c r="AQ49" s="21">
        <f t="shared" si="11"/>
        <v>3</v>
      </c>
      <c r="AR49" s="4"/>
      <c r="AS49" s="4"/>
    </row>
    <row r="50" spans="1:45" ht="41.25" customHeight="1" x14ac:dyDescent="0.2">
      <c r="A50" s="4">
        <v>47</v>
      </c>
      <c r="B50" s="10">
        <v>45925</v>
      </c>
      <c r="C50" s="4">
        <v>3</v>
      </c>
      <c r="D50" s="4"/>
      <c r="E50" s="4">
        <f t="shared" si="3"/>
        <v>283</v>
      </c>
      <c r="F50" s="4">
        <v>3</v>
      </c>
      <c r="G50" s="4"/>
      <c r="H50" s="4">
        <f t="shared" si="4"/>
        <v>1.5</v>
      </c>
      <c r="I50" s="4">
        <f>E50-F50-G50</f>
        <v>280</v>
      </c>
      <c r="J50" s="4"/>
      <c r="K50" s="4"/>
      <c r="L50" s="4">
        <f t="shared" si="5"/>
        <v>209</v>
      </c>
      <c r="N50" s="4"/>
      <c r="O50" s="4"/>
      <c r="P50" s="4"/>
      <c r="Q50" s="4"/>
      <c r="R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M50" s="48"/>
      <c r="AN50" s="4" t="s">
        <v>48</v>
      </c>
      <c r="AO50" s="11">
        <v>180</v>
      </c>
      <c r="AP50" s="4">
        <v>1</v>
      </c>
      <c r="AQ50" s="11">
        <f t="shared" si="11"/>
        <v>180</v>
      </c>
      <c r="AR50" s="4"/>
      <c r="AS50" s="4"/>
    </row>
    <row r="51" spans="1:45" ht="41.25" customHeight="1" x14ac:dyDescent="0.2">
      <c r="A51" s="4">
        <v>48</v>
      </c>
      <c r="B51" s="10">
        <v>45926</v>
      </c>
      <c r="C51" s="4"/>
      <c r="D51" s="4"/>
      <c r="E51" s="4">
        <f t="shared" si="3"/>
        <v>283</v>
      </c>
      <c r="F51" s="4">
        <v>1.5</v>
      </c>
      <c r="G51" s="4"/>
      <c r="H51" s="4">
        <f t="shared" si="4"/>
        <v>1.5</v>
      </c>
      <c r="I51" s="4">
        <f t="shared" si="12"/>
        <v>281.5</v>
      </c>
      <c r="J51" s="4"/>
      <c r="K51" s="4"/>
      <c r="L51" s="4">
        <f t="shared" si="5"/>
        <v>209</v>
      </c>
      <c r="N51" s="4"/>
      <c r="O51" s="4"/>
      <c r="P51" s="4"/>
      <c r="Q51" s="4"/>
      <c r="R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M51" s="4" t="s">
        <v>112</v>
      </c>
      <c r="AN51" s="4" t="s">
        <v>72</v>
      </c>
      <c r="AO51" s="20">
        <v>350</v>
      </c>
      <c r="AP51" s="4">
        <v>2</v>
      </c>
      <c r="AQ51" s="20">
        <f t="shared" si="11"/>
        <v>700</v>
      </c>
      <c r="AR51" s="4"/>
      <c r="AS51" s="4"/>
    </row>
    <row r="52" spans="1:45" ht="41.25" customHeight="1" x14ac:dyDescent="0.2">
      <c r="A52" s="4">
        <v>49</v>
      </c>
      <c r="B52" s="10">
        <v>45927</v>
      </c>
      <c r="C52" s="4"/>
      <c r="D52" s="4"/>
      <c r="E52" s="4">
        <f t="shared" si="3"/>
        <v>283</v>
      </c>
      <c r="F52" s="4"/>
      <c r="G52" s="4"/>
      <c r="H52" s="4">
        <f t="shared" si="4"/>
        <v>1.5</v>
      </c>
      <c r="I52" s="4">
        <f t="shared" si="12"/>
        <v>283</v>
      </c>
      <c r="J52" s="4"/>
      <c r="K52" s="4"/>
      <c r="L52" s="4">
        <f t="shared" si="5"/>
        <v>209</v>
      </c>
      <c r="N52" s="4"/>
      <c r="O52" s="4"/>
      <c r="P52" s="4"/>
      <c r="Q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M52" s="48" t="s">
        <v>74</v>
      </c>
      <c r="AN52" s="4" t="s">
        <v>61</v>
      </c>
      <c r="AO52" s="20">
        <v>120</v>
      </c>
      <c r="AP52" s="4">
        <v>2</v>
      </c>
      <c r="AQ52" s="20">
        <f t="shared" si="11"/>
        <v>240</v>
      </c>
      <c r="AR52" s="4"/>
      <c r="AS52" s="4"/>
    </row>
    <row r="53" spans="1:45" ht="41.25" customHeight="1" x14ac:dyDescent="0.2">
      <c r="A53" s="4">
        <v>50</v>
      </c>
      <c r="B53" s="10">
        <v>45928</v>
      </c>
      <c r="C53" s="4"/>
      <c r="D53" s="4"/>
      <c r="E53" s="4">
        <f t="shared" si="3"/>
        <v>283</v>
      </c>
      <c r="F53" s="4"/>
      <c r="G53" s="4"/>
      <c r="H53" s="4">
        <f t="shared" si="4"/>
        <v>0</v>
      </c>
      <c r="I53" s="4">
        <f t="shared" si="12"/>
        <v>283</v>
      </c>
      <c r="J53" s="4"/>
      <c r="K53" s="4"/>
      <c r="L53" s="4">
        <f t="shared" si="5"/>
        <v>209</v>
      </c>
      <c r="N53" s="4"/>
      <c r="O53" s="4"/>
      <c r="P53" s="4"/>
      <c r="Q53" s="4"/>
      <c r="R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M53" s="48"/>
      <c r="AN53" s="4" t="s">
        <v>67</v>
      </c>
      <c r="AO53" s="21">
        <v>4</v>
      </c>
      <c r="AP53" s="4">
        <v>2</v>
      </c>
      <c r="AQ53" s="21">
        <f t="shared" si="11"/>
        <v>8</v>
      </c>
      <c r="AR53" s="4"/>
      <c r="AS53" s="4"/>
    </row>
    <row r="54" spans="1:45" ht="41.25" customHeight="1" x14ac:dyDescent="0.2">
      <c r="H54" s="4"/>
      <c r="AE54" s="4"/>
      <c r="AF54" s="4"/>
      <c r="AG54" s="4"/>
      <c r="AH54" s="4"/>
      <c r="AI54" s="4"/>
      <c r="AJ54" s="4"/>
      <c r="AK54" s="4"/>
      <c r="AM54" s="48"/>
      <c r="AN54" s="4" t="s">
        <v>48</v>
      </c>
      <c r="AO54" s="11">
        <v>250</v>
      </c>
      <c r="AP54" s="4">
        <v>2</v>
      </c>
      <c r="AQ54" s="11">
        <f t="shared" si="11"/>
        <v>500</v>
      </c>
      <c r="AR54" s="4"/>
      <c r="AS54" s="4"/>
    </row>
    <row r="55" spans="1:45" ht="41.25" customHeight="1" x14ac:dyDescent="0.2">
      <c r="AE55" s="4"/>
      <c r="AF55" s="4"/>
      <c r="AG55" s="4"/>
      <c r="AH55" s="4"/>
      <c r="AI55" s="4"/>
      <c r="AJ55" s="4"/>
      <c r="AK55" s="4"/>
      <c r="AM55" s="4"/>
      <c r="AN55" s="4"/>
      <c r="AO55" s="4"/>
      <c r="AP55" s="4"/>
      <c r="AQ55" s="20"/>
      <c r="AR55" s="4"/>
      <c r="AS55" s="4"/>
    </row>
    <row r="56" spans="1:45" ht="41.25" customHeight="1" x14ac:dyDescent="0.2">
      <c r="AM56" s="4"/>
      <c r="AN56" s="4"/>
      <c r="AO56" s="4"/>
      <c r="AP56" s="4"/>
      <c r="AQ56" s="20"/>
      <c r="AR56" s="4"/>
      <c r="AS56" s="4"/>
    </row>
    <row r="57" spans="1:45" ht="41.25" customHeight="1" x14ac:dyDescent="0.2">
      <c r="AM57" s="4"/>
      <c r="AN57" s="4"/>
      <c r="AO57" s="4"/>
      <c r="AP57" s="4"/>
      <c r="AQ57" s="20"/>
      <c r="AR57" s="4"/>
      <c r="AS57" s="4"/>
    </row>
    <row r="58" spans="1:45" ht="41.25" customHeight="1" x14ac:dyDescent="0.2">
      <c r="AM58" s="4"/>
      <c r="AN58" s="4"/>
      <c r="AO58" s="4"/>
      <c r="AP58" s="20"/>
      <c r="AQ58" s="4"/>
      <c r="AR58" s="4"/>
      <c r="AS58" s="4"/>
    </row>
    <row r="59" spans="1:45" ht="41.25" customHeight="1" x14ac:dyDescent="0.2">
      <c r="AM59" s="4"/>
      <c r="AN59" s="4"/>
      <c r="AO59" s="4"/>
      <c r="AP59" s="4"/>
      <c r="AQ59" s="20"/>
      <c r="AR59" s="4"/>
      <c r="AS59" s="4"/>
    </row>
    <row r="60" spans="1:45" ht="41.25" customHeight="1" x14ac:dyDescent="0.2">
      <c r="AM60" s="4"/>
      <c r="AN60" s="4"/>
      <c r="AO60" s="4"/>
      <c r="AP60" s="4"/>
      <c r="AQ60" s="20"/>
      <c r="AR60" s="4"/>
      <c r="AS60" s="4"/>
    </row>
    <row r="61" spans="1:45" ht="41.25" customHeight="1" x14ac:dyDescent="0.2">
      <c r="AM61" s="4"/>
      <c r="AN61" s="4"/>
      <c r="AO61" s="4"/>
      <c r="AP61" s="4"/>
      <c r="AQ61" s="20"/>
      <c r="AR61" s="4"/>
      <c r="AS61" s="4"/>
    </row>
    <row r="62" spans="1:45" ht="41.25" customHeight="1" x14ac:dyDescent="0.2">
      <c r="AM62" s="4"/>
      <c r="AN62" s="4"/>
      <c r="AO62" s="4"/>
      <c r="AP62" s="4"/>
      <c r="AQ62" s="20"/>
      <c r="AR62" s="4"/>
      <c r="AS62" s="4"/>
    </row>
    <row r="63" spans="1:45" ht="41.25" customHeight="1" x14ac:dyDescent="0.2">
      <c r="AM63" s="4"/>
      <c r="AN63" s="4"/>
      <c r="AO63" s="4"/>
      <c r="AP63" s="4"/>
      <c r="AQ63" s="20"/>
      <c r="AR63" s="4"/>
      <c r="AS63" s="4"/>
    </row>
    <row r="64" spans="1:45" ht="41.25" customHeight="1" x14ac:dyDescent="0.2">
      <c r="AM64" s="4"/>
      <c r="AN64" s="4"/>
      <c r="AO64" s="4"/>
      <c r="AP64" s="4"/>
      <c r="AQ64" s="20"/>
      <c r="AR64" s="4"/>
      <c r="AS64" s="4"/>
    </row>
  </sheetData>
  <mergeCells count="28">
    <mergeCell ref="AM52:AM54"/>
    <mergeCell ref="AM34:AM35"/>
    <mergeCell ref="AM36:AM38"/>
    <mergeCell ref="AM40:AM42"/>
    <mergeCell ref="AM43:AM47"/>
    <mergeCell ref="AM48:AM50"/>
    <mergeCell ref="AM12:AM15"/>
    <mergeCell ref="AM16:AM19"/>
    <mergeCell ref="AM24:AM27"/>
    <mergeCell ref="AM28:AM29"/>
    <mergeCell ref="AM30:AM33"/>
    <mergeCell ref="AH4:AH5"/>
    <mergeCell ref="AI4:AI5"/>
    <mergeCell ref="AJ4:AJ5"/>
    <mergeCell ref="AK4:AK5"/>
    <mergeCell ref="AM4:AM7"/>
    <mergeCell ref="AM2:AS2"/>
    <mergeCell ref="C1:K1"/>
    <mergeCell ref="A2:B2"/>
    <mergeCell ref="C2:K2"/>
    <mergeCell ref="T1:AK1"/>
    <mergeCell ref="X2:Z2"/>
    <mergeCell ref="AC2:AF2"/>
    <mergeCell ref="AH2:AJ2"/>
    <mergeCell ref="N1:R1"/>
    <mergeCell ref="N2:R2"/>
    <mergeCell ref="T2:U2"/>
    <mergeCell ref="V2:W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9B01-B62A-4F81-809C-D48201F9FF0A}">
  <sheetPr>
    <tabColor rgb="FF00B0F0"/>
  </sheetPr>
  <dimension ref="A1:AT64"/>
  <sheetViews>
    <sheetView tabSelected="1" topLeftCell="L24" zoomScale="91" zoomScaleNormal="91" workbookViewId="0">
      <selection activeCell="S32" sqref="S32"/>
    </sheetView>
  </sheetViews>
  <sheetFormatPr defaultColWidth="12.125" defaultRowHeight="18" x14ac:dyDescent="0.2"/>
  <cols>
    <col min="1" max="1" width="12.125" style="1"/>
    <col min="2" max="2" width="16.75" style="1" customWidth="1"/>
    <col min="3" max="5" width="12.125" style="1"/>
    <col min="6" max="6" width="13.375" style="1" customWidth="1"/>
    <col min="7" max="7" width="11.25" style="1" bestFit="1" customWidth="1"/>
    <col min="8" max="9" width="21.875" style="1" bestFit="1" customWidth="1"/>
    <col min="10" max="10" width="12.5" style="1" customWidth="1"/>
    <col min="11" max="11" width="13.25" style="1" customWidth="1"/>
    <col min="12" max="12" width="16.125" style="1" bestFit="1" customWidth="1"/>
    <col min="13" max="13" width="7.625" style="3" customWidth="1"/>
    <col min="14" max="14" width="16.25" customWidth="1"/>
    <col min="15" max="15" width="20.875" style="1" customWidth="1"/>
    <col min="16" max="16" width="19.5" style="1" customWidth="1"/>
    <col min="17" max="17" width="18.25" style="1" customWidth="1"/>
    <col min="18" max="18" width="17.625" style="1" customWidth="1"/>
    <col min="19" max="19" width="21.375" style="1" customWidth="1"/>
    <col min="20" max="20" width="8.5" style="2" customWidth="1"/>
    <col min="21" max="21" width="15.625" style="1" customWidth="1"/>
    <col min="22" max="22" width="14.75" style="1" customWidth="1"/>
    <col min="23" max="23" width="15.375" style="1" customWidth="1"/>
    <col min="24" max="24" width="23" style="1" customWidth="1"/>
    <col min="25" max="26" width="22.625" style="1" customWidth="1"/>
    <col min="27" max="27" width="13" style="1" bestFit="1" customWidth="1"/>
    <col min="28" max="28" width="16.375" style="1" bestFit="1" customWidth="1"/>
    <col min="29" max="29" width="23.125" style="1" bestFit="1" customWidth="1"/>
    <col min="30" max="30" width="23.125" style="1" customWidth="1"/>
    <col min="31" max="31" width="12" style="1" customWidth="1"/>
    <col min="32" max="33" width="12.125" style="1"/>
    <col min="34" max="34" width="30.75" style="1" bestFit="1" customWidth="1"/>
    <col min="35" max="35" width="30.75" style="1" customWidth="1"/>
    <col min="36" max="36" width="29" style="1" bestFit="1" customWidth="1"/>
    <col min="37" max="37" width="18.125" style="1" bestFit="1" customWidth="1"/>
    <col min="38" max="38" width="13.875" style="1" customWidth="1"/>
    <col min="39" max="39" width="10.375" style="7" customWidth="1"/>
    <col min="40" max="41" width="18.625" style="1" customWidth="1"/>
    <col min="42" max="42" width="19.125" style="1" customWidth="1"/>
    <col min="43" max="43" width="15.75" style="1" customWidth="1"/>
    <col min="44" max="44" width="16.5" style="1" customWidth="1"/>
    <col min="45" max="45" width="17.75" style="1" customWidth="1"/>
    <col min="46" max="46" width="17.375" style="1" customWidth="1"/>
    <col min="47" max="16384" width="12.125" style="1"/>
  </cols>
  <sheetData>
    <row r="1" spans="1:46" ht="41.25" customHeight="1" x14ac:dyDescent="0.2">
      <c r="A1" s="4"/>
      <c r="B1" s="9"/>
      <c r="C1" s="46" t="s">
        <v>120</v>
      </c>
      <c r="D1" s="46"/>
      <c r="E1" s="46"/>
      <c r="F1" s="46"/>
      <c r="G1" s="46"/>
      <c r="H1" s="46"/>
      <c r="I1" s="46"/>
      <c r="J1" s="46"/>
      <c r="K1" s="47"/>
      <c r="L1" s="4"/>
      <c r="N1" s="35"/>
      <c r="O1" s="36"/>
      <c r="P1" s="36"/>
      <c r="Q1" s="36"/>
      <c r="R1" s="36"/>
      <c r="S1" s="36"/>
      <c r="U1" s="45" t="s">
        <v>26</v>
      </c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N1" s="4"/>
      <c r="AO1" s="4"/>
      <c r="AP1" s="4"/>
      <c r="AQ1" s="4"/>
      <c r="AR1" s="4"/>
      <c r="AS1" s="4"/>
      <c r="AT1" s="4"/>
    </row>
    <row r="2" spans="1:46" ht="41.25" customHeight="1" x14ac:dyDescent="0.2">
      <c r="A2" s="51">
        <v>45869</v>
      </c>
      <c r="B2" s="46"/>
      <c r="C2" s="46" t="s">
        <v>121</v>
      </c>
      <c r="D2" s="46"/>
      <c r="E2" s="46"/>
      <c r="F2" s="46"/>
      <c r="G2" s="46"/>
      <c r="H2" s="46"/>
      <c r="I2" s="46"/>
      <c r="J2" s="46"/>
      <c r="K2" s="47"/>
      <c r="L2" s="4" t="s">
        <v>37</v>
      </c>
      <c r="N2" s="35"/>
      <c r="O2" s="48" t="s">
        <v>27</v>
      </c>
      <c r="P2" s="48"/>
      <c r="Q2" s="48"/>
      <c r="R2" s="48"/>
      <c r="S2" s="48"/>
      <c r="U2" s="45" t="s">
        <v>40</v>
      </c>
      <c r="V2" s="46"/>
      <c r="W2" s="45" t="s">
        <v>41</v>
      </c>
      <c r="X2" s="47"/>
      <c r="Y2" s="45">
        <v>4080</v>
      </c>
      <c r="Z2" s="46"/>
      <c r="AA2" s="47"/>
      <c r="AB2" s="6"/>
      <c r="AC2" s="6"/>
      <c r="AD2" s="46" t="s">
        <v>9</v>
      </c>
      <c r="AE2" s="46"/>
      <c r="AF2" s="46"/>
      <c r="AG2" s="47"/>
      <c r="AH2" s="4" t="s">
        <v>18</v>
      </c>
      <c r="AI2" s="4"/>
      <c r="AJ2" s="4">
        <v>3880</v>
      </c>
      <c r="AK2" s="8"/>
      <c r="AL2" s="4"/>
      <c r="AN2" s="48" t="s">
        <v>33</v>
      </c>
      <c r="AO2" s="48"/>
      <c r="AP2" s="48"/>
      <c r="AQ2" s="48"/>
      <c r="AR2" s="48"/>
      <c r="AS2" s="48"/>
      <c r="AT2" s="48"/>
    </row>
    <row r="3" spans="1:46" ht="41.2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11</v>
      </c>
      <c r="I3" s="4" t="s">
        <v>7</v>
      </c>
      <c r="J3" s="4" t="s">
        <v>8</v>
      </c>
      <c r="K3" s="4" t="s">
        <v>9</v>
      </c>
      <c r="L3" s="4" t="s">
        <v>10</v>
      </c>
      <c r="N3" s="4" t="s">
        <v>1</v>
      </c>
      <c r="O3" s="4" t="s">
        <v>12</v>
      </c>
      <c r="P3" s="4" t="s">
        <v>13</v>
      </c>
      <c r="Q3" s="4" t="s">
        <v>14</v>
      </c>
      <c r="R3" s="4" t="s">
        <v>15</v>
      </c>
      <c r="S3" s="4" t="s">
        <v>16</v>
      </c>
      <c r="U3" s="4" t="s">
        <v>1</v>
      </c>
      <c r="V3" s="4" t="s">
        <v>17</v>
      </c>
      <c r="W3" s="4" t="s">
        <v>8</v>
      </c>
      <c r="X3" s="4" t="s">
        <v>18</v>
      </c>
      <c r="Y3" s="4" t="s">
        <v>19</v>
      </c>
      <c r="Z3" s="4" t="s">
        <v>8</v>
      </c>
      <c r="AA3" s="4" t="s">
        <v>38</v>
      </c>
      <c r="AB3" s="4" t="s">
        <v>25</v>
      </c>
      <c r="AC3" s="4" t="s">
        <v>18</v>
      </c>
      <c r="AD3" s="4" t="s">
        <v>23</v>
      </c>
      <c r="AE3" s="4" t="s">
        <v>20</v>
      </c>
      <c r="AF3" s="4" t="s">
        <v>21</v>
      </c>
      <c r="AG3" s="4" t="s">
        <v>22</v>
      </c>
      <c r="AH3" s="4" t="s">
        <v>43</v>
      </c>
      <c r="AI3" s="4" t="s">
        <v>7</v>
      </c>
      <c r="AJ3" s="4" t="s">
        <v>44</v>
      </c>
      <c r="AK3" s="4" t="s">
        <v>8</v>
      </c>
      <c r="AL3" s="4" t="s">
        <v>24</v>
      </c>
      <c r="AN3" s="4" t="s">
        <v>28</v>
      </c>
      <c r="AO3" s="4" t="s">
        <v>29</v>
      </c>
      <c r="AP3" s="4" t="s">
        <v>14</v>
      </c>
      <c r="AQ3" s="4" t="s">
        <v>30</v>
      </c>
      <c r="AR3" s="4" t="s">
        <v>31</v>
      </c>
      <c r="AS3" s="4" t="s">
        <v>32</v>
      </c>
      <c r="AT3" s="4" t="s">
        <v>16</v>
      </c>
    </row>
    <row r="4" spans="1:46" ht="41.25" customHeight="1" x14ac:dyDescent="0.2">
      <c r="A4" s="4">
        <v>1</v>
      </c>
      <c r="B4" s="10">
        <v>45870</v>
      </c>
      <c r="C4" s="4">
        <v>10</v>
      </c>
      <c r="D4" s="4"/>
      <c r="E4" s="4">
        <v>10</v>
      </c>
      <c r="F4" s="4">
        <v>9</v>
      </c>
      <c r="G4" s="4"/>
      <c r="H4" s="4">
        <v>1</v>
      </c>
      <c r="I4" s="4">
        <f>E4-F4-G4</f>
        <v>1</v>
      </c>
      <c r="J4" s="4"/>
      <c r="K4" s="4">
        <v>4</v>
      </c>
      <c r="L4" s="4">
        <v>4</v>
      </c>
      <c r="N4" s="54">
        <v>45868</v>
      </c>
      <c r="O4" s="48" t="s">
        <v>122</v>
      </c>
      <c r="P4" s="4" t="s">
        <v>123</v>
      </c>
      <c r="Q4" s="4">
        <v>5</v>
      </c>
      <c r="R4" s="4">
        <v>140000</v>
      </c>
      <c r="S4" s="4">
        <f>Q4*R4</f>
        <v>700000</v>
      </c>
      <c r="U4" s="16">
        <v>45906</v>
      </c>
      <c r="V4" s="4">
        <v>200</v>
      </c>
      <c r="W4" s="4">
        <v>312.10000000000002</v>
      </c>
      <c r="X4" s="4">
        <v>200</v>
      </c>
      <c r="Y4" s="4">
        <v>312.10000000000002</v>
      </c>
      <c r="Z4" s="4">
        <f>Y4/X4</f>
        <v>1.5605000000000002</v>
      </c>
      <c r="AA4" s="4">
        <v>198</v>
      </c>
      <c r="AB4" s="4">
        <f>AA4*100/Y2</f>
        <v>4.8529411764705879</v>
      </c>
      <c r="AC4" s="4">
        <v>3880</v>
      </c>
      <c r="AD4" s="4">
        <f>AC4+AA4-Y2</f>
        <v>-2</v>
      </c>
      <c r="AE4" s="4">
        <v>59</v>
      </c>
      <c r="AF4" s="4">
        <v>19</v>
      </c>
      <c r="AG4" s="4">
        <v>26</v>
      </c>
      <c r="AH4" s="4">
        <v>6413.95</v>
      </c>
      <c r="AI4" s="4">
        <v>320</v>
      </c>
      <c r="AJ4" s="4">
        <f>AI4*30.76</f>
        <v>9843.2000000000007</v>
      </c>
      <c r="AK4" s="4">
        <f>AH4/AJ2</f>
        <v>1.6530798969072165</v>
      </c>
      <c r="AL4" s="4">
        <f>AJ4/AH5</f>
        <v>1.5223601283687123</v>
      </c>
      <c r="AN4" s="48" t="s">
        <v>105</v>
      </c>
      <c r="AO4" s="4" t="s">
        <v>45</v>
      </c>
      <c r="AP4" s="20">
        <v>60</v>
      </c>
      <c r="AQ4" s="4">
        <v>2</v>
      </c>
      <c r="AR4" s="20">
        <f>AP4*AQ4</f>
        <v>120</v>
      </c>
      <c r="AS4" s="4"/>
      <c r="AT4" s="4"/>
    </row>
    <row r="5" spans="1:46" ht="41.25" customHeight="1" x14ac:dyDescent="0.2">
      <c r="A5" s="4">
        <v>2</v>
      </c>
      <c r="B5" s="10">
        <v>45871</v>
      </c>
      <c r="C5" s="4"/>
      <c r="D5" s="4"/>
      <c r="E5" s="4">
        <f>C5+D5+E4</f>
        <v>10</v>
      </c>
      <c r="F5" s="4">
        <v>8</v>
      </c>
      <c r="G5" s="4"/>
      <c r="H5" s="4">
        <f>I5-I4</f>
        <v>1</v>
      </c>
      <c r="I5" s="4">
        <f t="shared" ref="I5:I53" si="0">E5-F5-G5</f>
        <v>2</v>
      </c>
      <c r="J5" s="4"/>
      <c r="K5" s="4">
        <v>6</v>
      </c>
      <c r="L5" s="4">
        <f>L4+K5</f>
        <v>10</v>
      </c>
      <c r="N5" s="54"/>
      <c r="O5" s="48"/>
      <c r="P5" s="4" t="s">
        <v>124</v>
      </c>
      <c r="Q5" s="4">
        <v>5</v>
      </c>
      <c r="R5" s="4">
        <v>139400</v>
      </c>
      <c r="S5" s="4">
        <f t="shared" ref="S5:S31" si="1">Q5*R5</f>
        <v>697000</v>
      </c>
      <c r="U5" s="16">
        <v>45908</v>
      </c>
      <c r="V5" s="4">
        <v>900</v>
      </c>
      <c r="W5" s="4">
        <v>1450.9</v>
      </c>
      <c r="X5" s="4">
        <f>X4+V5</f>
        <v>1100</v>
      </c>
      <c r="Y5" s="4">
        <f>Y4+W5</f>
        <v>1763</v>
      </c>
      <c r="Z5" s="4">
        <f t="shared" ref="Z5:Z8" si="2">Y5/X5</f>
        <v>1.6027272727272728</v>
      </c>
      <c r="AA5" s="4"/>
      <c r="AB5" s="4"/>
      <c r="AC5" s="4"/>
      <c r="AD5" s="4"/>
      <c r="AE5" s="4">
        <f>AE4*0.3</f>
        <v>17.7</v>
      </c>
      <c r="AF5" s="4">
        <f>AF4*0.7</f>
        <v>13.299999999999999</v>
      </c>
      <c r="AG5" s="4">
        <f>AG4*0.8</f>
        <v>20.8</v>
      </c>
      <c r="AH5" s="4">
        <f>AH4+AE5+AF5+AG5</f>
        <v>6465.75</v>
      </c>
      <c r="AI5" s="4"/>
      <c r="AJ5" s="4"/>
      <c r="AK5" s="4"/>
      <c r="AL5" s="4"/>
      <c r="AN5" s="48"/>
      <c r="AO5" s="4" t="s">
        <v>77</v>
      </c>
      <c r="AP5" s="20">
        <v>45</v>
      </c>
      <c r="AQ5" s="4">
        <v>2</v>
      </c>
      <c r="AR5" s="20">
        <f t="shared" ref="AR5:AR13" si="3">AP5*AQ5</f>
        <v>90</v>
      </c>
      <c r="AS5" s="4"/>
      <c r="AT5" s="4"/>
    </row>
    <row r="6" spans="1:46" ht="41.25" customHeight="1" x14ac:dyDescent="0.2">
      <c r="A6" s="4">
        <v>3</v>
      </c>
      <c r="B6" s="10">
        <v>45872</v>
      </c>
      <c r="C6" s="4"/>
      <c r="D6" s="4"/>
      <c r="E6" s="4">
        <f t="shared" ref="E6:E53" si="4">C6+D6+E5</f>
        <v>10</v>
      </c>
      <c r="F6" s="4">
        <v>6.5</v>
      </c>
      <c r="G6" s="4"/>
      <c r="H6" s="4">
        <f t="shared" ref="H6:H53" si="5">I6-I5</f>
        <v>1.5</v>
      </c>
      <c r="I6" s="4">
        <f t="shared" si="0"/>
        <v>3.5</v>
      </c>
      <c r="J6" s="4"/>
      <c r="K6" s="4">
        <v>4</v>
      </c>
      <c r="L6" s="4">
        <f t="shared" ref="L6:L53" si="6">L5+K6</f>
        <v>14</v>
      </c>
      <c r="N6" s="37">
        <v>45874</v>
      </c>
      <c r="O6" s="48"/>
      <c r="P6" s="4" t="s">
        <v>123</v>
      </c>
      <c r="Q6" s="4">
        <v>10</v>
      </c>
      <c r="R6" s="4">
        <v>140000</v>
      </c>
      <c r="S6" s="4">
        <f t="shared" si="1"/>
        <v>1400000</v>
      </c>
      <c r="U6" s="16">
        <v>45909</v>
      </c>
      <c r="V6" s="4">
        <v>941</v>
      </c>
      <c r="W6" s="4">
        <v>1564.25</v>
      </c>
      <c r="X6" s="4">
        <f t="shared" ref="X6:X8" si="7">X5+V6</f>
        <v>2041</v>
      </c>
      <c r="Y6" s="4">
        <f t="shared" ref="Y6:Y8" si="8">Y5+W6</f>
        <v>3327.25</v>
      </c>
      <c r="Z6" s="4">
        <f t="shared" si="2"/>
        <v>1.6302057814796669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N6" s="48"/>
      <c r="AO6" s="4" t="s">
        <v>61</v>
      </c>
      <c r="AP6" s="20">
        <v>13</v>
      </c>
      <c r="AQ6" s="4">
        <v>2</v>
      </c>
      <c r="AR6" s="20">
        <f t="shared" si="3"/>
        <v>26</v>
      </c>
      <c r="AS6" s="4"/>
      <c r="AT6" s="4"/>
    </row>
    <row r="7" spans="1:46" ht="41.25" customHeight="1" x14ac:dyDescent="0.2">
      <c r="A7" s="4">
        <v>4</v>
      </c>
      <c r="B7" s="10">
        <v>45873</v>
      </c>
      <c r="C7" s="4"/>
      <c r="D7" s="4"/>
      <c r="E7" s="4">
        <f t="shared" si="4"/>
        <v>10</v>
      </c>
      <c r="F7" s="4">
        <v>4.5</v>
      </c>
      <c r="G7" s="4"/>
      <c r="H7" s="4">
        <f t="shared" si="5"/>
        <v>2</v>
      </c>
      <c r="I7" s="4">
        <f t="shared" si="0"/>
        <v>5.5</v>
      </c>
      <c r="J7" s="4"/>
      <c r="K7" s="4">
        <v>2</v>
      </c>
      <c r="L7" s="4">
        <f t="shared" si="6"/>
        <v>16</v>
      </c>
      <c r="N7" s="37">
        <v>45878</v>
      </c>
      <c r="O7" s="48"/>
      <c r="P7" s="4" t="s">
        <v>123</v>
      </c>
      <c r="Q7" s="4">
        <v>10</v>
      </c>
      <c r="R7" s="4">
        <v>140000</v>
      </c>
      <c r="S7" s="4">
        <f t="shared" si="1"/>
        <v>1400000</v>
      </c>
      <c r="U7" s="16">
        <v>45911</v>
      </c>
      <c r="V7" s="4">
        <v>960</v>
      </c>
      <c r="W7" s="4">
        <v>1670.15</v>
      </c>
      <c r="X7" s="4">
        <f t="shared" si="7"/>
        <v>3001</v>
      </c>
      <c r="Y7" s="4">
        <f t="shared" si="8"/>
        <v>4997.3999999999996</v>
      </c>
      <c r="Z7" s="4">
        <f t="shared" si="2"/>
        <v>1.6652449183605464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N7" s="48"/>
      <c r="AO7" s="4" t="s">
        <v>47</v>
      </c>
      <c r="AP7" s="20">
        <v>45</v>
      </c>
      <c r="AQ7" s="4">
        <v>2</v>
      </c>
      <c r="AR7" s="20">
        <f t="shared" si="3"/>
        <v>90</v>
      </c>
      <c r="AS7" s="4"/>
      <c r="AT7" s="4"/>
    </row>
    <row r="8" spans="1:46" ht="41.25" customHeight="1" x14ac:dyDescent="0.2">
      <c r="A8" s="4">
        <v>5</v>
      </c>
      <c r="B8" s="10">
        <v>45874</v>
      </c>
      <c r="C8" s="4">
        <v>10</v>
      </c>
      <c r="D8" s="4"/>
      <c r="E8" s="4">
        <f t="shared" si="4"/>
        <v>20</v>
      </c>
      <c r="F8" s="4">
        <v>12.5</v>
      </c>
      <c r="G8" s="4"/>
      <c r="H8" s="4">
        <f t="shared" si="5"/>
        <v>2</v>
      </c>
      <c r="I8" s="4">
        <f t="shared" si="0"/>
        <v>7.5</v>
      </c>
      <c r="J8" s="4"/>
      <c r="K8" s="4">
        <v>2</v>
      </c>
      <c r="L8" s="4">
        <f t="shared" si="6"/>
        <v>18</v>
      </c>
      <c r="N8" s="37">
        <v>45881</v>
      </c>
      <c r="O8" s="48"/>
      <c r="P8" s="4" t="s">
        <v>124</v>
      </c>
      <c r="Q8" s="4">
        <v>10</v>
      </c>
      <c r="R8" s="4">
        <v>139400</v>
      </c>
      <c r="S8" s="4">
        <f t="shared" si="1"/>
        <v>1394000</v>
      </c>
      <c r="U8" s="16">
        <v>45912</v>
      </c>
      <c r="V8" s="4">
        <v>879</v>
      </c>
      <c r="W8" s="4">
        <v>1416.55</v>
      </c>
      <c r="X8" s="4">
        <f t="shared" si="7"/>
        <v>3880</v>
      </c>
      <c r="Y8" s="4">
        <f t="shared" si="8"/>
        <v>6413.95</v>
      </c>
      <c r="Z8" s="4">
        <f t="shared" si="2"/>
        <v>1.6530798969072165</v>
      </c>
      <c r="AA8" s="4"/>
      <c r="AB8" s="4"/>
      <c r="AC8" s="4"/>
      <c r="AD8" s="4">
        <f>1.8-Z8</f>
        <v>0.14692010309278358</v>
      </c>
      <c r="AE8" s="4"/>
      <c r="AF8" s="4"/>
      <c r="AG8" s="4"/>
      <c r="AH8" s="4"/>
      <c r="AI8" s="4"/>
      <c r="AJ8" s="4"/>
      <c r="AK8" s="4"/>
      <c r="AL8" s="4"/>
      <c r="AN8" s="52" t="s">
        <v>106</v>
      </c>
      <c r="AO8" s="21" t="s">
        <v>45</v>
      </c>
      <c r="AP8" s="20">
        <v>60</v>
      </c>
      <c r="AQ8" s="4">
        <v>2</v>
      </c>
      <c r="AR8" s="20">
        <f t="shared" si="3"/>
        <v>120</v>
      </c>
      <c r="AS8" s="4"/>
      <c r="AT8" s="4"/>
    </row>
    <row r="9" spans="1:46" ht="41.25" customHeight="1" x14ac:dyDescent="0.2">
      <c r="A9" s="4">
        <v>6</v>
      </c>
      <c r="B9" s="10">
        <v>45875</v>
      </c>
      <c r="C9" s="4"/>
      <c r="D9" s="4"/>
      <c r="E9" s="4">
        <f t="shared" si="4"/>
        <v>20</v>
      </c>
      <c r="F9" s="4">
        <v>10</v>
      </c>
      <c r="G9" s="4"/>
      <c r="H9" s="4">
        <f t="shared" si="5"/>
        <v>2.5</v>
      </c>
      <c r="I9" s="4">
        <f t="shared" si="0"/>
        <v>10</v>
      </c>
      <c r="J9" s="4"/>
      <c r="K9" s="4">
        <v>5</v>
      </c>
      <c r="L9" s="4">
        <f t="shared" si="6"/>
        <v>23</v>
      </c>
      <c r="N9" s="37">
        <v>45882</v>
      </c>
      <c r="O9" s="48"/>
      <c r="P9" s="4" t="s">
        <v>124</v>
      </c>
      <c r="Q9" s="4">
        <v>3</v>
      </c>
      <c r="R9" s="4">
        <v>139400</v>
      </c>
      <c r="S9" s="4">
        <f t="shared" si="1"/>
        <v>418200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N9" s="52"/>
      <c r="AO9" s="21" t="s">
        <v>77</v>
      </c>
      <c r="AP9" s="20">
        <v>45</v>
      </c>
      <c r="AQ9" s="4">
        <v>2</v>
      </c>
      <c r="AR9" s="20">
        <f t="shared" si="3"/>
        <v>90</v>
      </c>
      <c r="AS9" s="4"/>
      <c r="AT9" s="4"/>
    </row>
    <row r="10" spans="1:46" ht="41.25" customHeight="1" x14ac:dyDescent="0.2">
      <c r="A10" s="4">
        <v>7</v>
      </c>
      <c r="B10" s="10">
        <v>45876</v>
      </c>
      <c r="C10" s="4"/>
      <c r="D10" s="4"/>
      <c r="E10" s="4">
        <f t="shared" si="4"/>
        <v>20</v>
      </c>
      <c r="F10" s="4">
        <v>7</v>
      </c>
      <c r="G10" s="4"/>
      <c r="H10" s="4">
        <f t="shared" si="5"/>
        <v>3</v>
      </c>
      <c r="I10" s="4">
        <f t="shared" si="0"/>
        <v>13</v>
      </c>
      <c r="J10" s="4"/>
      <c r="K10" s="4">
        <v>1</v>
      </c>
      <c r="L10" s="4">
        <f t="shared" si="6"/>
        <v>24</v>
      </c>
      <c r="N10" s="37">
        <v>45883</v>
      </c>
      <c r="O10" s="48" t="s">
        <v>131</v>
      </c>
      <c r="P10" s="4" t="s">
        <v>125</v>
      </c>
      <c r="Q10" s="4">
        <v>10</v>
      </c>
      <c r="R10" s="4">
        <v>136520</v>
      </c>
      <c r="S10" s="4">
        <f t="shared" si="1"/>
        <v>1365200</v>
      </c>
      <c r="U10" s="4"/>
      <c r="V10" s="4"/>
      <c r="W10" s="4"/>
      <c r="X10" s="4"/>
      <c r="Y10" s="4"/>
      <c r="Z10" s="4"/>
      <c r="AA10" s="4"/>
      <c r="AB10" s="4"/>
      <c r="AC10" s="4"/>
      <c r="AD10" s="4">
        <f>AD8*0.0037</f>
        <v>5.436043814432993E-4</v>
      </c>
      <c r="AE10" s="4"/>
      <c r="AF10" s="4"/>
      <c r="AG10" s="4"/>
      <c r="AH10" s="4"/>
      <c r="AI10" s="4"/>
      <c r="AJ10" s="4"/>
      <c r="AK10" s="4"/>
      <c r="AL10" s="4"/>
      <c r="AN10" s="52"/>
      <c r="AO10" s="21" t="s">
        <v>58</v>
      </c>
      <c r="AP10" s="20">
        <v>17</v>
      </c>
      <c r="AQ10" s="4">
        <v>2</v>
      </c>
      <c r="AR10" s="20">
        <f t="shared" si="3"/>
        <v>34</v>
      </c>
      <c r="AS10" s="4"/>
      <c r="AT10" s="4"/>
    </row>
    <row r="11" spans="1:46" ht="41.25" customHeight="1" x14ac:dyDescent="0.2">
      <c r="A11" s="4">
        <v>8</v>
      </c>
      <c r="B11" s="10">
        <v>45877</v>
      </c>
      <c r="C11" s="4"/>
      <c r="D11" s="4"/>
      <c r="E11" s="4">
        <f t="shared" si="4"/>
        <v>20</v>
      </c>
      <c r="F11" s="4">
        <v>4</v>
      </c>
      <c r="G11" s="4"/>
      <c r="H11" s="4">
        <f t="shared" si="5"/>
        <v>3</v>
      </c>
      <c r="I11" s="4">
        <f t="shared" si="0"/>
        <v>16</v>
      </c>
      <c r="J11" s="4"/>
      <c r="K11" s="4"/>
      <c r="L11" s="4">
        <f t="shared" si="6"/>
        <v>24</v>
      </c>
      <c r="N11" s="37">
        <v>45884</v>
      </c>
      <c r="O11" s="48"/>
      <c r="P11" s="4" t="s">
        <v>125</v>
      </c>
      <c r="Q11" s="4">
        <v>15</v>
      </c>
      <c r="R11" s="4">
        <v>136520</v>
      </c>
      <c r="S11" s="4">
        <f t="shared" si="1"/>
        <v>2047800</v>
      </c>
      <c r="U11" s="4"/>
      <c r="V11" s="4"/>
      <c r="W11" s="4"/>
      <c r="X11" s="4"/>
      <c r="Y11" s="4"/>
      <c r="Z11" s="4"/>
      <c r="AA11" s="4"/>
      <c r="AB11" s="4"/>
      <c r="AC11" s="4"/>
      <c r="AD11" s="4">
        <f>AD10+AL4</f>
        <v>1.5229037327501556</v>
      </c>
      <c r="AE11" s="4"/>
      <c r="AF11" s="4"/>
      <c r="AG11" s="4"/>
      <c r="AH11" s="4"/>
      <c r="AI11" s="4"/>
      <c r="AJ11" s="4"/>
      <c r="AK11" s="4"/>
      <c r="AL11" s="4"/>
      <c r="AN11" s="52"/>
      <c r="AO11" s="21" t="s">
        <v>47</v>
      </c>
      <c r="AP11" s="20">
        <v>55</v>
      </c>
      <c r="AQ11" s="4">
        <v>2</v>
      </c>
      <c r="AR11" s="20">
        <f t="shared" si="3"/>
        <v>110</v>
      </c>
      <c r="AS11" s="4"/>
      <c r="AT11" s="4"/>
    </row>
    <row r="12" spans="1:46" ht="41.25" customHeight="1" x14ac:dyDescent="0.2">
      <c r="A12" s="4">
        <v>9</v>
      </c>
      <c r="B12" s="10">
        <v>45878</v>
      </c>
      <c r="C12" s="4">
        <v>10</v>
      </c>
      <c r="D12" s="4"/>
      <c r="E12" s="4">
        <f t="shared" si="4"/>
        <v>30</v>
      </c>
      <c r="F12" s="4">
        <v>10.5</v>
      </c>
      <c r="G12" s="4"/>
      <c r="H12" s="4">
        <f t="shared" si="5"/>
        <v>3.5</v>
      </c>
      <c r="I12" s="4">
        <f t="shared" si="0"/>
        <v>19.5</v>
      </c>
      <c r="J12" s="4"/>
      <c r="K12" s="4">
        <v>1</v>
      </c>
      <c r="L12" s="4">
        <f t="shared" si="6"/>
        <v>25</v>
      </c>
      <c r="N12" s="37">
        <v>45886</v>
      </c>
      <c r="O12" s="48"/>
      <c r="P12" s="4" t="s">
        <v>125</v>
      </c>
      <c r="Q12" s="4">
        <v>15</v>
      </c>
      <c r="R12" s="4">
        <v>136520</v>
      </c>
      <c r="S12" s="4">
        <f t="shared" si="1"/>
        <v>2047800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N12" s="52" t="s">
        <v>52</v>
      </c>
      <c r="AO12" s="21" t="s">
        <v>50</v>
      </c>
      <c r="AP12" s="11">
        <v>38</v>
      </c>
      <c r="AQ12" s="4">
        <v>3</v>
      </c>
      <c r="AR12" s="11">
        <f t="shared" si="3"/>
        <v>114</v>
      </c>
      <c r="AS12" s="4"/>
      <c r="AT12" s="4"/>
    </row>
    <row r="13" spans="1:46" ht="41.25" customHeight="1" x14ac:dyDescent="0.2">
      <c r="A13" s="4">
        <v>10</v>
      </c>
      <c r="B13" s="10">
        <v>45879</v>
      </c>
      <c r="C13" s="4"/>
      <c r="D13" s="4"/>
      <c r="E13" s="4">
        <f t="shared" si="4"/>
        <v>30</v>
      </c>
      <c r="F13" s="4">
        <v>6.5</v>
      </c>
      <c r="G13" s="4"/>
      <c r="H13" s="4">
        <f t="shared" si="5"/>
        <v>4</v>
      </c>
      <c r="I13" s="4">
        <f t="shared" si="0"/>
        <v>23.5</v>
      </c>
      <c r="J13" s="4"/>
      <c r="K13" s="4">
        <v>7</v>
      </c>
      <c r="L13" s="4">
        <f t="shared" si="6"/>
        <v>32</v>
      </c>
      <c r="N13" s="37">
        <v>45888</v>
      </c>
      <c r="O13" s="48"/>
      <c r="P13" s="4" t="s">
        <v>127</v>
      </c>
      <c r="Q13" s="4">
        <v>15</v>
      </c>
      <c r="R13" s="4">
        <v>134450</v>
      </c>
      <c r="S13" s="4">
        <f t="shared" si="1"/>
        <v>2016750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N13" s="52"/>
      <c r="AO13" s="21" t="s">
        <v>51</v>
      </c>
      <c r="AP13" s="11">
        <v>27</v>
      </c>
      <c r="AQ13" s="4">
        <v>3</v>
      </c>
      <c r="AR13" s="11">
        <f t="shared" si="3"/>
        <v>81</v>
      </c>
      <c r="AS13" s="4"/>
      <c r="AT13" s="4"/>
    </row>
    <row r="14" spans="1:46" ht="41.25" customHeight="1" x14ac:dyDescent="0.2">
      <c r="A14" s="4">
        <v>11</v>
      </c>
      <c r="B14" s="10">
        <v>45880</v>
      </c>
      <c r="C14" s="4"/>
      <c r="D14" s="4"/>
      <c r="E14" s="4">
        <f t="shared" si="4"/>
        <v>30</v>
      </c>
      <c r="F14" s="4">
        <v>2</v>
      </c>
      <c r="G14" s="4"/>
      <c r="H14" s="4">
        <f t="shared" si="5"/>
        <v>4.5</v>
      </c>
      <c r="I14" s="4">
        <f t="shared" si="0"/>
        <v>28</v>
      </c>
      <c r="J14" s="4"/>
      <c r="K14" s="4">
        <v>7</v>
      </c>
      <c r="L14" s="4">
        <f t="shared" si="6"/>
        <v>39</v>
      </c>
      <c r="N14" s="54">
        <v>45890</v>
      </c>
      <c r="O14" s="48"/>
      <c r="P14" s="4" t="s">
        <v>125</v>
      </c>
      <c r="Q14" s="4">
        <v>10</v>
      </c>
      <c r="R14" s="4">
        <v>136520</v>
      </c>
      <c r="S14" s="4">
        <f t="shared" si="1"/>
        <v>1365200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N14" s="52"/>
      <c r="AO14" s="21" t="s">
        <v>67</v>
      </c>
      <c r="AP14" s="21">
        <v>1</v>
      </c>
      <c r="AQ14" s="4">
        <v>3</v>
      </c>
      <c r="AR14" s="21">
        <f>AP14*AQ14</f>
        <v>3</v>
      </c>
      <c r="AS14" s="4"/>
      <c r="AT14" s="4"/>
    </row>
    <row r="15" spans="1:46" ht="41.25" customHeight="1" x14ac:dyDescent="0.2">
      <c r="A15" s="4">
        <v>12</v>
      </c>
      <c r="B15" s="10">
        <v>45881</v>
      </c>
      <c r="C15" s="4">
        <v>10</v>
      </c>
      <c r="D15" s="4"/>
      <c r="E15" s="4">
        <f t="shared" si="4"/>
        <v>40</v>
      </c>
      <c r="F15" s="4">
        <v>7.5</v>
      </c>
      <c r="G15" s="4"/>
      <c r="H15" s="4">
        <f t="shared" si="5"/>
        <v>4.5</v>
      </c>
      <c r="I15" s="4">
        <f t="shared" si="0"/>
        <v>32.5</v>
      </c>
      <c r="J15" s="4"/>
      <c r="K15" s="4">
        <v>7</v>
      </c>
      <c r="L15" s="4">
        <f t="shared" si="6"/>
        <v>46</v>
      </c>
      <c r="N15" s="54"/>
      <c r="O15" s="48"/>
      <c r="P15" s="4" t="s">
        <v>128</v>
      </c>
      <c r="Q15" s="4">
        <v>5</v>
      </c>
      <c r="R15" s="4">
        <v>110000</v>
      </c>
      <c r="S15" s="4">
        <f t="shared" si="1"/>
        <v>550000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N15" s="52"/>
      <c r="AO15" s="21" t="s">
        <v>48</v>
      </c>
      <c r="AP15" s="11">
        <v>43</v>
      </c>
      <c r="AQ15" s="4">
        <v>3</v>
      </c>
      <c r="AR15" s="11">
        <f>AP15*AQ15</f>
        <v>129</v>
      </c>
      <c r="AS15" s="4"/>
      <c r="AT15" s="4"/>
    </row>
    <row r="16" spans="1:46" ht="41.25" customHeight="1" x14ac:dyDescent="0.2">
      <c r="A16" s="4">
        <v>13</v>
      </c>
      <c r="B16" s="10">
        <v>45882</v>
      </c>
      <c r="C16" s="4">
        <v>3</v>
      </c>
      <c r="D16" s="4"/>
      <c r="E16" s="4">
        <f t="shared" si="4"/>
        <v>43</v>
      </c>
      <c r="F16" s="4">
        <v>5.5</v>
      </c>
      <c r="G16" s="4"/>
      <c r="H16" s="4">
        <f t="shared" si="5"/>
        <v>5</v>
      </c>
      <c r="I16" s="4">
        <f t="shared" si="0"/>
        <v>37.5</v>
      </c>
      <c r="J16" s="4"/>
      <c r="K16" s="4">
        <v>20</v>
      </c>
      <c r="L16" s="4">
        <f t="shared" si="6"/>
        <v>66</v>
      </c>
      <c r="N16" s="37">
        <v>45892</v>
      </c>
      <c r="O16" s="48"/>
      <c r="P16" s="4" t="s">
        <v>129</v>
      </c>
      <c r="Q16" s="4">
        <v>15</v>
      </c>
      <c r="R16" s="4">
        <v>136520</v>
      </c>
      <c r="S16" s="4">
        <f t="shared" si="1"/>
        <v>2047800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N16" s="53">
        <v>10</v>
      </c>
      <c r="AO16" s="21" t="s">
        <v>84</v>
      </c>
      <c r="AP16" s="20">
        <v>120</v>
      </c>
      <c r="AQ16" s="4">
        <v>1</v>
      </c>
      <c r="AR16" s="20">
        <f>AP16*AQ16</f>
        <v>120</v>
      </c>
      <c r="AS16" s="4"/>
      <c r="AT16" s="4"/>
    </row>
    <row r="17" spans="1:46" ht="41.25" customHeight="1" x14ac:dyDescent="0.2">
      <c r="A17" s="4">
        <v>14</v>
      </c>
      <c r="B17" s="10">
        <v>45883</v>
      </c>
      <c r="C17" s="4">
        <v>10</v>
      </c>
      <c r="D17" s="4"/>
      <c r="E17" s="4">
        <f t="shared" si="4"/>
        <v>53</v>
      </c>
      <c r="F17" s="4">
        <v>10</v>
      </c>
      <c r="G17" s="4"/>
      <c r="H17" s="4">
        <f t="shared" si="5"/>
        <v>5.5</v>
      </c>
      <c r="I17" s="4">
        <f t="shared" si="0"/>
        <v>43</v>
      </c>
      <c r="J17" s="4"/>
      <c r="K17" s="4">
        <v>9</v>
      </c>
      <c r="L17" s="4">
        <f t="shared" si="6"/>
        <v>75</v>
      </c>
      <c r="N17" s="37">
        <v>45893</v>
      </c>
      <c r="O17" s="48"/>
      <c r="P17" s="4" t="s">
        <v>130</v>
      </c>
      <c r="Q17" s="4">
        <v>20</v>
      </c>
      <c r="R17" s="4">
        <v>129400</v>
      </c>
      <c r="S17" s="4">
        <f t="shared" si="1"/>
        <v>2588000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N17" s="53"/>
      <c r="AO17" s="21" t="s">
        <v>85</v>
      </c>
      <c r="AP17" s="25">
        <v>1</v>
      </c>
      <c r="AQ17" s="4">
        <v>1</v>
      </c>
      <c r="AR17" s="25">
        <f>AP17*AQ17</f>
        <v>1</v>
      </c>
      <c r="AS17" s="4"/>
      <c r="AT17" s="4"/>
    </row>
    <row r="18" spans="1:46" ht="41.25" customHeight="1" x14ac:dyDescent="0.2">
      <c r="A18" s="4">
        <v>15</v>
      </c>
      <c r="B18" s="10">
        <v>45884</v>
      </c>
      <c r="C18" s="4">
        <v>15</v>
      </c>
      <c r="D18" s="4"/>
      <c r="E18" s="4">
        <f t="shared" si="4"/>
        <v>68</v>
      </c>
      <c r="F18" s="4">
        <v>18.5</v>
      </c>
      <c r="G18" s="4"/>
      <c r="H18" s="4">
        <f t="shared" si="5"/>
        <v>6.5</v>
      </c>
      <c r="I18" s="4">
        <f t="shared" si="0"/>
        <v>49.5</v>
      </c>
      <c r="J18" s="4"/>
      <c r="K18" s="4">
        <v>3</v>
      </c>
      <c r="L18" s="4">
        <f t="shared" si="6"/>
        <v>78</v>
      </c>
      <c r="N18" s="37">
        <v>45895</v>
      </c>
      <c r="O18" s="48"/>
      <c r="P18" s="4" t="s">
        <v>125</v>
      </c>
      <c r="Q18" s="4">
        <v>10</v>
      </c>
      <c r="R18" s="4">
        <v>136520</v>
      </c>
      <c r="S18" s="4">
        <f t="shared" si="1"/>
        <v>1365200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N18" s="53"/>
      <c r="AO18" s="21" t="s">
        <v>67</v>
      </c>
      <c r="AP18" s="21">
        <v>2.4</v>
      </c>
      <c r="AQ18" s="4">
        <v>1</v>
      </c>
      <c r="AR18" s="21">
        <f t="shared" ref="AR18:AR27" si="9">AP18*AQ18</f>
        <v>2.4</v>
      </c>
      <c r="AS18" s="4"/>
      <c r="AT18" s="4"/>
    </row>
    <row r="19" spans="1:46" ht="41.25" customHeight="1" x14ac:dyDescent="0.2">
      <c r="A19" s="4">
        <v>16</v>
      </c>
      <c r="B19" s="10">
        <v>45885</v>
      </c>
      <c r="C19" s="4"/>
      <c r="D19" s="4"/>
      <c r="E19" s="4">
        <f t="shared" si="4"/>
        <v>68</v>
      </c>
      <c r="F19" s="4">
        <v>12</v>
      </c>
      <c r="G19" s="4"/>
      <c r="H19" s="4">
        <f t="shared" si="5"/>
        <v>6.5</v>
      </c>
      <c r="I19" s="4">
        <f t="shared" si="0"/>
        <v>56</v>
      </c>
      <c r="J19" s="4"/>
      <c r="K19" s="4">
        <v>3</v>
      </c>
      <c r="L19" s="4">
        <f t="shared" si="6"/>
        <v>81</v>
      </c>
      <c r="N19" s="37">
        <v>45896</v>
      </c>
      <c r="O19" s="48"/>
      <c r="P19" s="4" t="s">
        <v>125</v>
      </c>
      <c r="Q19" s="4">
        <v>10</v>
      </c>
      <c r="R19" s="4">
        <v>136520</v>
      </c>
      <c r="S19" s="4">
        <f t="shared" si="1"/>
        <v>1365200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N19" s="53"/>
      <c r="AO19" s="21" t="s">
        <v>48</v>
      </c>
      <c r="AP19" s="11">
        <v>100</v>
      </c>
      <c r="AQ19" s="4">
        <v>1</v>
      </c>
      <c r="AR19" s="11">
        <f t="shared" si="9"/>
        <v>100</v>
      </c>
      <c r="AS19" s="4"/>
      <c r="AT19" s="4"/>
    </row>
    <row r="20" spans="1:46" ht="41.25" customHeight="1" x14ac:dyDescent="0.2">
      <c r="A20" s="4">
        <v>17</v>
      </c>
      <c r="B20" s="10">
        <v>45886</v>
      </c>
      <c r="C20" s="4">
        <v>15</v>
      </c>
      <c r="D20" s="4"/>
      <c r="E20" s="4">
        <f t="shared" si="4"/>
        <v>83</v>
      </c>
      <c r="F20" s="4">
        <v>20</v>
      </c>
      <c r="G20" s="4"/>
      <c r="H20" s="4">
        <f t="shared" si="5"/>
        <v>7</v>
      </c>
      <c r="I20" s="4">
        <f t="shared" si="0"/>
        <v>63</v>
      </c>
      <c r="J20" s="4"/>
      <c r="K20" s="4">
        <v>2</v>
      </c>
      <c r="L20" s="4">
        <f>L19+K20</f>
        <v>83</v>
      </c>
      <c r="N20" s="37">
        <v>45897</v>
      </c>
      <c r="O20" s="48" t="s">
        <v>134</v>
      </c>
      <c r="P20" s="4" t="s">
        <v>126</v>
      </c>
      <c r="Q20" s="4">
        <v>15</v>
      </c>
      <c r="R20" s="4">
        <v>133460</v>
      </c>
      <c r="S20" s="4">
        <f t="shared" si="1"/>
        <v>2001900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N20" s="48">
        <v>11</v>
      </c>
      <c r="AO20" s="4" t="s">
        <v>84</v>
      </c>
      <c r="AP20" s="20">
        <v>120</v>
      </c>
      <c r="AQ20" s="4">
        <v>1</v>
      </c>
      <c r="AR20" s="20">
        <f t="shared" si="9"/>
        <v>120</v>
      </c>
      <c r="AS20" s="4"/>
      <c r="AT20" s="4"/>
    </row>
    <row r="21" spans="1:46" ht="41.25" customHeight="1" x14ac:dyDescent="0.2">
      <c r="A21" s="4">
        <v>18</v>
      </c>
      <c r="B21" s="10">
        <v>45887</v>
      </c>
      <c r="C21" s="4"/>
      <c r="D21" s="4"/>
      <c r="E21" s="4">
        <f t="shared" si="4"/>
        <v>83</v>
      </c>
      <c r="F21" s="4">
        <v>12.5</v>
      </c>
      <c r="G21" s="4"/>
      <c r="H21" s="4">
        <f t="shared" si="5"/>
        <v>7.5</v>
      </c>
      <c r="I21" s="4">
        <f t="shared" si="0"/>
        <v>70.5</v>
      </c>
      <c r="J21" s="4"/>
      <c r="K21" s="4">
        <v>4</v>
      </c>
      <c r="L21" s="4">
        <f>L20+K21</f>
        <v>87</v>
      </c>
      <c r="N21" s="54">
        <v>45898</v>
      </c>
      <c r="O21" s="48"/>
      <c r="P21" s="4" t="s">
        <v>132</v>
      </c>
      <c r="Q21" s="4">
        <v>10</v>
      </c>
      <c r="R21" s="4">
        <v>124800</v>
      </c>
      <c r="S21" s="4">
        <f t="shared" si="1"/>
        <v>1248000</v>
      </c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N21" s="48"/>
      <c r="AO21" s="4" t="s">
        <v>85</v>
      </c>
      <c r="AP21" s="4">
        <v>1</v>
      </c>
      <c r="AQ21" s="4">
        <v>1</v>
      </c>
      <c r="AR21" s="4">
        <f t="shared" si="9"/>
        <v>1</v>
      </c>
      <c r="AS21" s="4"/>
      <c r="AT21" s="4"/>
    </row>
    <row r="22" spans="1:46" ht="41.25" customHeight="1" x14ac:dyDescent="0.2">
      <c r="A22" s="4">
        <v>19</v>
      </c>
      <c r="B22" s="10">
        <v>45888</v>
      </c>
      <c r="C22" s="4">
        <v>10</v>
      </c>
      <c r="D22" s="4">
        <v>5</v>
      </c>
      <c r="E22" s="4">
        <f t="shared" si="4"/>
        <v>98</v>
      </c>
      <c r="F22" s="4">
        <v>20</v>
      </c>
      <c r="G22" s="4"/>
      <c r="H22" s="4">
        <f t="shared" si="5"/>
        <v>7.5</v>
      </c>
      <c r="I22" s="4">
        <f t="shared" si="0"/>
        <v>78</v>
      </c>
      <c r="J22" s="4"/>
      <c r="K22" s="4">
        <v>2</v>
      </c>
      <c r="L22" s="4">
        <f t="shared" si="6"/>
        <v>89</v>
      </c>
      <c r="N22" s="54"/>
      <c r="O22" s="48"/>
      <c r="P22" s="4" t="s">
        <v>128</v>
      </c>
      <c r="Q22" s="4">
        <v>5</v>
      </c>
      <c r="R22" s="4">
        <v>110000</v>
      </c>
      <c r="S22" s="4">
        <f t="shared" si="1"/>
        <v>550000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N22" s="48"/>
      <c r="AO22" s="4" t="s">
        <v>62</v>
      </c>
      <c r="AP22" s="4">
        <v>4</v>
      </c>
      <c r="AQ22" s="4">
        <v>1</v>
      </c>
      <c r="AR22" s="4">
        <f t="shared" si="9"/>
        <v>4</v>
      </c>
      <c r="AS22" s="4"/>
      <c r="AT22" s="4"/>
    </row>
    <row r="23" spans="1:46" ht="41.25" customHeight="1" x14ac:dyDescent="0.2">
      <c r="A23" s="4">
        <v>20</v>
      </c>
      <c r="B23" s="10">
        <v>45889</v>
      </c>
      <c r="C23" s="4"/>
      <c r="D23" s="4"/>
      <c r="E23" s="4">
        <f t="shared" si="4"/>
        <v>98</v>
      </c>
      <c r="F23" s="4">
        <v>12</v>
      </c>
      <c r="G23" s="4"/>
      <c r="H23" s="4">
        <f t="shared" si="5"/>
        <v>8</v>
      </c>
      <c r="I23" s="4">
        <f t="shared" si="0"/>
        <v>86</v>
      </c>
      <c r="J23" s="4"/>
      <c r="K23" s="4">
        <v>5</v>
      </c>
      <c r="L23" s="4">
        <f t="shared" si="6"/>
        <v>94</v>
      </c>
      <c r="N23" s="54">
        <v>45899</v>
      </c>
      <c r="O23" s="48"/>
      <c r="P23" s="4" t="s">
        <v>126</v>
      </c>
      <c r="Q23" s="4">
        <v>10</v>
      </c>
      <c r="R23" s="4">
        <v>133460</v>
      </c>
      <c r="S23" s="4">
        <f t="shared" si="1"/>
        <v>1334600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N23" s="48"/>
      <c r="AO23" s="4" t="s">
        <v>63</v>
      </c>
      <c r="AP23" s="11">
        <v>250</v>
      </c>
      <c r="AQ23" s="4">
        <v>1</v>
      </c>
      <c r="AR23" s="11">
        <f t="shared" si="9"/>
        <v>250</v>
      </c>
      <c r="AS23" s="4"/>
      <c r="AT23" s="4"/>
    </row>
    <row r="24" spans="1:46" ht="41.25" customHeight="1" x14ac:dyDescent="0.2">
      <c r="A24" s="4">
        <v>21</v>
      </c>
      <c r="B24" s="10">
        <v>45890</v>
      </c>
      <c r="C24" s="4">
        <v>10</v>
      </c>
      <c r="D24" s="4">
        <v>5</v>
      </c>
      <c r="E24" s="4">
        <f t="shared" si="4"/>
        <v>113</v>
      </c>
      <c r="F24" s="4">
        <v>14</v>
      </c>
      <c r="G24" s="4">
        <v>5</v>
      </c>
      <c r="H24" s="4">
        <f t="shared" si="5"/>
        <v>8</v>
      </c>
      <c r="I24" s="4">
        <f t="shared" si="0"/>
        <v>94</v>
      </c>
      <c r="J24" s="4"/>
      <c r="K24" s="4">
        <v>5</v>
      </c>
      <c r="L24" s="4">
        <f t="shared" si="6"/>
        <v>99</v>
      </c>
      <c r="N24" s="54"/>
      <c r="O24" s="48"/>
      <c r="P24" s="4" t="s">
        <v>128</v>
      </c>
      <c r="Q24" s="4">
        <v>5</v>
      </c>
      <c r="R24" s="4">
        <v>110000</v>
      </c>
      <c r="S24" s="4">
        <f t="shared" si="1"/>
        <v>550000</v>
      </c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N24" s="48">
        <v>12</v>
      </c>
      <c r="AO24" s="4" t="s">
        <v>84</v>
      </c>
      <c r="AP24" s="20">
        <v>160</v>
      </c>
      <c r="AQ24" s="4">
        <v>1</v>
      </c>
      <c r="AR24" s="20">
        <f t="shared" si="9"/>
        <v>160</v>
      </c>
      <c r="AS24" s="4"/>
      <c r="AT24" s="4"/>
    </row>
    <row r="25" spans="1:46" ht="41.25" customHeight="1" x14ac:dyDescent="0.2">
      <c r="A25" s="4">
        <v>22</v>
      </c>
      <c r="B25" s="10">
        <v>45891</v>
      </c>
      <c r="C25" s="4"/>
      <c r="D25" s="4"/>
      <c r="E25" s="4">
        <f t="shared" si="4"/>
        <v>113</v>
      </c>
      <c r="F25" s="4">
        <v>8</v>
      </c>
      <c r="G25" s="4">
        <v>2</v>
      </c>
      <c r="H25" s="4">
        <f t="shared" si="5"/>
        <v>9</v>
      </c>
      <c r="I25" s="4">
        <f t="shared" si="0"/>
        <v>103</v>
      </c>
      <c r="J25" s="4"/>
      <c r="K25" s="4">
        <v>7</v>
      </c>
      <c r="L25" s="4">
        <f t="shared" si="6"/>
        <v>106</v>
      </c>
      <c r="N25" s="37">
        <v>45901</v>
      </c>
      <c r="O25" s="48"/>
      <c r="P25" s="4" t="s">
        <v>132</v>
      </c>
      <c r="Q25" s="4">
        <v>20</v>
      </c>
      <c r="R25" s="4">
        <v>124800</v>
      </c>
      <c r="S25" s="4">
        <f t="shared" si="1"/>
        <v>2496000</v>
      </c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N25" s="48"/>
      <c r="AO25" s="4" t="s">
        <v>85</v>
      </c>
      <c r="AP25" s="4">
        <v>1</v>
      </c>
      <c r="AQ25" s="4">
        <v>1</v>
      </c>
      <c r="AR25" s="4">
        <f t="shared" si="9"/>
        <v>1</v>
      </c>
      <c r="AS25" s="4"/>
      <c r="AT25" s="4"/>
    </row>
    <row r="26" spans="1:46" ht="41.25" customHeight="1" x14ac:dyDescent="0.2">
      <c r="A26" s="4">
        <v>23</v>
      </c>
      <c r="B26" s="10">
        <v>45892</v>
      </c>
      <c r="C26" s="4">
        <v>15</v>
      </c>
      <c r="D26" s="4"/>
      <c r="E26" s="4">
        <f t="shared" si="4"/>
        <v>128</v>
      </c>
      <c r="F26" s="4">
        <v>15</v>
      </c>
      <c r="G26" s="4"/>
      <c r="H26" s="4">
        <f t="shared" si="5"/>
        <v>10</v>
      </c>
      <c r="I26" s="4">
        <f t="shared" si="0"/>
        <v>113</v>
      </c>
      <c r="J26" s="4"/>
      <c r="K26" s="4">
        <v>2</v>
      </c>
      <c r="L26" s="4">
        <f t="shared" si="6"/>
        <v>108</v>
      </c>
      <c r="N26" s="54">
        <v>45903</v>
      </c>
      <c r="O26" s="48"/>
      <c r="P26" s="38" t="s">
        <v>133</v>
      </c>
      <c r="Q26" s="4">
        <v>15</v>
      </c>
      <c r="R26" s="4">
        <v>122800</v>
      </c>
      <c r="S26" s="4">
        <f t="shared" si="1"/>
        <v>1842000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N26" s="48" t="s">
        <v>107</v>
      </c>
      <c r="AO26" s="4" t="s">
        <v>136</v>
      </c>
      <c r="AP26" s="20">
        <v>240</v>
      </c>
      <c r="AQ26" s="4">
        <v>3</v>
      </c>
      <c r="AR26" s="20">
        <f t="shared" si="9"/>
        <v>720</v>
      </c>
      <c r="AS26" s="4"/>
      <c r="AT26" s="4"/>
    </row>
    <row r="27" spans="1:46" ht="41.25" customHeight="1" x14ac:dyDescent="0.2">
      <c r="A27" s="4">
        <v>24</v>
      </c>
      <c r="B27" s="10">
        <v>45893</v>
      </c>
      <c r="C27" s="4">
        <v>20</v>
      </c>
      <c r="D27" s="4"/>
      <c r="E27" s="4">
        <f t="shared" si="4"/>
        <v>148</v>
      </c>
      <c r="F27" s="4">
        <v>25</v>
      </c>
      <c r="G27" s="4"/>
      <c r="H27" s="4">
        <f t="shared" si="5"/>
        <v>10</v>
      </c>
      <c r="I27" s="4">
        <f t="shared" si="0"/>
        <v>123</v>
      </c>
      <c r="J27" s="4"/>
      <c r="K27" s="4">
        <v>5</v>
      </c>
      <c r="L27" s="4">
        <f t="shared" si="6"/>
        <v>113</v>
      </c>
      <c r="N27" s="54"/>
      <c r="O27" s="48"/>
      <c r="P27" s="4" t="s">
        <v>132</v>
      </c>
      <c r="Q27" s="4">
        <v>10</v>
      </c>
      <c r="R27" s="4">
        <v>124800</v>
      </c>
      <c r="S27" s="4">
        <f t="shared" si="1"/>
        <v>1248000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N27" s="48"/>
      <c r="AO27" s="4" t="s">
        <v>47</v>
      </c>
      <c r="AP27" s="20">
        <v>240</v>
      </c>
      <c r="AQ27" s="4">
        <v>3</v>
      </c>
      <c r="AR27" s="20">
        <f t="shared" si="9"/>
        <v>720</v>
      </c>
      <c r="AS27" s="4"/>
      <c r="AT27" s="4"/>
    </row>
    <row r="28" spans="1:46" ht="41.25" customHeight="1" x14ac:dyDescent="0.2">
      <c r="A28" s="4">
        <v>25</v>
      </c>
      <c r="B28" s="10">
        <v>45894</v>
      </c>
      <c r="C28" s="4"/>
      <c r="D28" s="4"/>
      <c r="E28" s="4">
        <f t="shared" si="4"/>
        <v>148</v>
      </c>
      <c r="F28" s="4">
        <v>15</v>
      </c>
      <c r="G28" s="4"/>
      <c r="H28" s="4">
        <f t="shared" si="5"/>
        <v>10</v>
      </c>
      <c r="I28" s="4">
        <f t="shared" si="0"/>
        <v>133</v>
      </c>
      <c r="J28" s="4"/>
      <c r="K28" s="4">
        <v>7</v>
      </c>
      <c r="L28" s="4">
        <f t="shared" si="6"/>
        <v>120</v>
      </c>
      <c r="N28" s="37">
        <v>45905</v>
      </c>
      <c r="O28" s="48"/>
      <c r="P28" s="4" t="s">
        <v>126</v>
      </c>
      <c r="Q28" s="4">
        <v>25</v>
      </c>
      <c r="R28" s="4">
        <v>133460</v>
      </c>
      <c r="S28" s="4">
        <f t="shared" si="1"/>
        <v>3336500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N28" s="48">
        <v>18</v>
      </c>
      <c r="AO28" s="4" t="s">
        <v>69</v>
      </c>
      <c r="AP28" s="4">
        <v>4</v>
      </c>
      <c r="AQ28" s="4">
        <v>1</v>
      </c>
      <c r="AR28" s="4">
        <f t="shared" ref="AR28:AR35" si="10">AP28*AQ28</f>
        <v>4</v>
      </c>
      <c r="AS28" s="4"/>
      <c r="AT28" s="4"/>
    </row>
    <row r="29" spans="1:46" ht="41.25" customHeight="1" x14ac:dyDescent="0.2">
      <c r="A29" s="4">
        <v>26</v>
      </c>
      <c r="B29" s="10">
        <v>45895</v>
      </c>
      <c r="C29" s="4">
        <v>10</v>
      </c>
      <c r="D29" s="4"/>
      <c r="E29" s="4">
        <f t="shared" si="4"/>
        <v>158</v>
      </c>
      <c r="F29" s="4">
        <v>15</v>
      </c>
      <c r="G29" s="4"/>
      <c r="H29" s="4">
        <f t="shared" si="5"/>
        <v>10</v>
      </c>
      <c r="I29" s="4">
        <f t="shared" si="0"/>
        <v>143</v>
      </c>
      <c r="J29" s="4"/>
      <c r="K29" s="4">
        <v>4</v>
      </c>
      <c r="L29" s="4">
        <f t="shared" si="6"/>
        <v>124</v>
      </c>
      <c r="N29" s="37">
        <v>45906</v>
      </c>
      <c r="O29" s="48"/>
      <c r="P29" s="4" t="s">
        <v>132</v>
      </c>
      <c r="Q29" s="4">
        <v>20</v>
      </c>
      <c r="R29" s="4">
        <v>124800</v>
      </c>
      <c r="S29" s="4">
        <f t="shared" si="1"/>
        <v>2496000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N29" s="48"/>
      <c r="AO29" s="4" t="s">
        <v>63</v>
      </c>
      <c r="AP29" s="11">
        <v>300</v>
      </c>
      <c r="AQ29" s="4">
        <v>1</v>
      </c>
      <c r="AR29" s="11">
        <f t="shared" si="10"/>
        <v>300</v>
      </c>
      <c r="AS29" s="4"/>
      <c r="AT29" s="4"/>
    </row>
    <row r="30" spans="1:46" ht="41.25" customHeight="1" x14ac:dyDescent="0.2">
      <c r="A30" s="4">
        <v>27</v>
      </c>
      <c r="B30" s="10">
        <v>45896</v>
      </c>
      <c r="C30" s="4">
        <v>10</v>
      </c>
      <c r="D30" s="4"/>
      <c r="E30" s="4">
        <f t="shared" si="4"/>
        <v>168</v>
      </c>
      <c r="F30" s="4">
        <v>15</v>
      </c>
      <c r="G30" s="4"/>
      <c r="H30" s="4">
        <f t="shared" si="5"/>
        <v>10</v>
      </c>
      <c r="I30" s="4">
        <f t="shared" si="0"/>
        <v>153</v>
      </c>
      <c r="J30" s="4"/>
      <c r="K30" s="4">
        <v>7</v>
      </c>
      <c r="L30" s="4">
        <f t="shared" si="6"/>
        <v>131</v>
      </c>
      <c r="N30" s="37">
        <v>45908</v>
      </c>
      <c r="O30" s="48"/>
      <c r="P30" s="4" t="s">
        <v>126</v>
      </c>
      <c r="Q30" s="4">
        <v>10</v>
      </c>
      <c r="R30" s="4">
        <v>133460</v>
      </c>
      <c r="S30" s="4">
        <f t="shared" si="1"/>
        <v>1334600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N30" s="48"/>
      <c r="AO30" s="4" t="s">
        <v>67</v>
      </c>
      <c r="AP30" s="21">
        <v>3</v>
      </c>
      <c r="AQ30" s="4">
        <v>1</v>
      </c>
      <c r="AR30" s="21">
        <f t="shared" si="10"/>
        <v>3</v>
      </c>
      <c r="AS30" s="4"/>
      <c r="AT30" s="4"/>
    </row>
    <row r="31" spans="1:46" ht="41.25" customHeight="1" x14ac:dyDescent="0.2">
      <c r="A31" s="4">
        <v>28</v>
      </c>
      <c r="B31" s="10">
        <v>45897</v>
      </c>
      <c r="C31" s="4">
        <v>15</v>
      </c>
      <c r="D31" s="4"/>
      <c r="E31" s="4">
        <f t="shared" si="4"/>
        <v>183</v>
      </c>
      <c r="F31" s="4">
        <v>20</v>
      </c>
      <c r="G31" s="4"/>
      <c r="H31" s="4">
        <f t="shared" si="5"/>
        <v>10</v>
      </c>
      <c r="I31" s="4">
        <f t="shared" si="0"/>
        <v>163</v>
      </c>
      <c r="J31" s="4"/>
      <c r="K31" s="4">
        <v>7</v>
      </c>
      <c r="L31" s="4">
        <f t="shared" si="6"/>
        <v>138</v>
      </c>
      <c r="N31" s="37">
        <v>45909</v>
      </c>
      <c r="O31" s="48"/>
      <c r="P31" s="4" t="s">
        <v>135</v>
      </c>
      <c r="Q31" s="4">
        <v>7</v>
      </c>
      <c r="R31" s="4">
        <v>129950</v>
      </c>
      <c r="S31" s="4">
        <f t="shared" si="1"/>
        <v>909650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N31" s="48"/>
      <c r="AO31" s="4" t="s">
        <v>48</v>
      </c>
      <c r="AP31" s="11">
        <v>150</v>
      </c>
      <c r="AQ31" s="4">
        <v>1</v>
      </c>
      <c r="AR31" s="11">
        <f t="shared" si="10"/>
        <v>150</v>
      </c>
      <c r="AS31" s="4"/>
      <c r="AT31" s="4"/>
    </row>
    <row r="32" spans="1:46" ht="41.25" customHeight="1" x14ac:dyDescent="0.2">
      <c r="A32" s="4">
        <v>29</v>
      </c>
      <c r="B32" s="10">
        <v>45898</v>
      </c>
      <c r="C32" s="4">
        <v>10</v>
      </c>
      <c r="D32" s="4">
        <v>5</v>
      </c>
      <c r="E32" s="4">
        <f t="shared" si="4"/>
        <v>198</v>
      </c>
      <c r="F32" s="4">
        <v>20</v>
      </c>
      <c r="G32" s="4">
        <v>5</v>
      </c>
      <c r="H32" s="4">
        <f t="shared" si="5"/>
        <v>10</v>
      </c>
      <c r="I32" s="4">
        <f t="shared" si="0"/>
        <v>173</v>
      </c>
      <c r="J32" s="4"/>
      <c r="K32" s="4">
        <v>10</v>
      </c>
      <c r="L32" s="4">
        <f t="shared" si="6"/>
        <v>148</v>
      </c>
      <c r="N32" s="37"/>
      <c r="O32" s="4"/>
      <c r="P32" s="4"/>
      <c r="Q32" s="4">
        <f>SUM(Q4:Q31)</f>
        <v>320</v>
      </c>
      <c r="R32" s="4"/>
      <c r="S32" s="4" t="e">
        <f>S31+S3:S30</f>
        <v>#VALUE!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N32" s="48"/>
      <c r="AO32" s="4" t="s">
        <v>82</v>
      </c>
      <c r="AP32" s="20">
        <v>240</v>
      </c>
      <c r="AQ32" s="4">
        <v>1</v>
      </c>
      <c r="AR32" s="20">
        <f t="shared" si="10"/>
        <v>240</v>
      </c>
      <c r="AS32" s="4"/>
      <c r="AT32" s="4"/>
    </row>
    <row r="33" spans="1:46" ht="41.25" customHeight="1" x14ac:dyDescent="0.2">
      <c r="A33" s="4">
        <v>30</v>
      </c>
      <c r="B33" s="10">
        <v>45899</v>
      </c>
      <c r="C33" s="4">
        <v>10</v>
      </c>
      <c r="D33" s="4">
        <v>5</v>
      </c>
      <c r="E33" s="4">
        <f t="shared" si="4"/>
        <v>213</v>
      </c>
      <c r="F33" s="4">
        <v>22</v>
      </c>
      <c r="G33" s="4">
        <v>6</v>
      </c>
      <c r="H33" s="4">
        <f t="shared" si="5"/>
        <v>12</v>
      </c>
      <c r="I33" s="4">
        <f t="shared" si="0"/>
        <v>185</v>
      </c>
      <c r="J33" s="4"/>
      <c r="K33" s="4">
        <v>5</v>
      </c>
      <c r="L33" s="4">
        <f t="shared" si="6"/>
        <v>153</v>
      </c>
      <c r="N33" s="37"/>
      <c r="O33" s="4"/>
      <c r="P33" s="4"/>
      <c r="Q33" s="4"/>
      <c r="R33" s="4"/>
      <c r="S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N33" s="42">
        <v>19</v>
      </c>
      <c r="AO33" s="4" t="s">
        <v>67</v>
      </c>
      <c r="AP33" s="21">
        <v>2</v>
      </c>
      <c r="AQ33" s="4">
        <v>1</v>
      </c>
      <c r="AR33" s="21">
        <f t="shared" si="10"/>
        <v>2</v>
      </c>
      <c r="AS33" s="4"/>
      <c r="AT33" s="4"/>
    </row>
    <row r="34" spans="1:46" ht="41.25" customHeight="1" x14ac:dyDescent="0.2">
      <c r="A34" s="4">
        <v>31</v>
      </c>
      <c r="B34" s="10">
        <v>45900</v>
      </c>
      <c r="C34" s="4"/>
      <c r="D34" s="4"/>
      <c r="E34" s="4">
        <f t="shared" si="4"/>
        <v>213</v>
      </c>
      <c r="F34" s="4">
        <v>14</v>
      </c>
      <c r="G34" s="4">
        <v>2</v>
      </c>
      <c r="H34" s="4">
        <f t="shared" si="5"/>
        <v>12</v>
      </c>
      <c r="I34" s="4">
        <f t="shared" si="0"/>
        <v>197</v>
      </c>
      <c r="J34" s="4"/>
      <c r="K34" s="4">
        <v>1</v>
      </c>
      <c r="L34" s="4">
        <f t="shared" si="6"/>
        <v>154</v>
      </c>
      <c r="N34" s="37"/>
      <c r="O34" s="4"/>
      <c r="P34" s="4"/>
      <c r="Q34" s="4"/>
      <c r="R34" s="4"/>
      <c r="S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N34" s="43"/>
      <c r="AO34" s="11" t="s">
        <v>48</v>
      </c>
      <c r="AP34" s="11">
        <v>100</v>
      </c>
      <c r="AQ34" s="4">
        <v>1</v>
      </c>
      <c r="AR34" s="11">
        <f t="shared" si="10"/>
        <v>100</v>
      </c>
      <c r="AS34" s="4"/>
      <c r="AT34" s="4"/>
    </row>
    <row r="35" spans="1:46" ht="41.25" customHeight="1" x14ac:dyDescent="0.2">
      <c r="A35" s="4">
        <v>32</v>
      </c>
      <c r="B35" s="10">
        <v>45901</v>
      </c>
      <c r="C35" s="4">
        <v>20</v>
      </c>
      <c r="D35" s="4"/>
      <c r="E35" s="4">
        <f t="shared" si="4"/>
        <v>233</v>
      </c>
      <c r="F35" s="4">
        <v>24</v>
      </c>
      <c r="G35" s="4"/>
      <c r="H35" s="4">
        <f t="shared" si="5"/>
        <v>12</v>
      </c>
      <c r="I35" s="4">
        <f t="shared" si="0"/>
        <v>209</v>
      </c>
      <c r="J35" s="4"/>
      <c r="K35" s="4">
        <v>2</v>
      </c>
      <c r="L35" s="4">
        <f t="shared" si="6"/>
        <v>156</v>
      </c>
      <c r="N35" s="37"/>
      <c r="O35" s="4"/>
      <c r="P35" s="4"/>
      <c r="Q35" s="4"/>
      <c r="R35" s="4"/>
      <c r="S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N35" s="44"/>
      <c r="AO35" s="4" t="s">
        <v>82</v>
      </c>
      <c r="AP35" s="20">
        <v>240</v>
      </c>
      <c r="AQ35" s="4">
        <v>1</v>
      </c>
      <c r="AR35" s="20">
        <f t="shared" si="10"/>
        <v>240</v>
      </c>
      <c r="AS35" s="4"/>
      <c r="AT35" s="4"/>
    </row>
    <row r="36" spans="1:46" ht="41.25" customHeight="1" x14ac:dyDescent="0.2">
      <c r="A36" s="4">
        <v>33</v>
      </c>
      <c r="B36" s="10">
        <v>45902</v>
      </c>
      <c r="C36" s="4"/>
      <c r="D36" s="4"/>
      <c r="E36" s="4">
        <f t="shared" si="4"/>
        <v>233</v>
      </c>
      <c r="F36" s="4">
        <v>11</v>
      </c>
      <c r="G36" s="4"/>
      <c r="H36" s="4">
        <f t="shared" si="5"/>
        <v>13</v>
      </c>
      <c r="I36" s="4">
        <f t="shared" si="0"/>
        <v>222</v>
      </c>
      <c r="J36" s="4"/>
      <c r="K36" s="4">
        <v>3</v>
      </c>
      <c r="L36" s="4">
        <f t="shared" si="6"/>
        <v>159</v>
      </c>
      <c r="N36" s="37"/>
      <c r="O36" s="4"/>
      <c r="P36" s="4"/>
      <c r="Q36" s="4"/>
      <c r="R36" s="4"/>
      <c r="S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N36" s="4" t="s">
        <v>99</v>
      </c>
      <c r="AO36" s="4" t="s">
        <v>70</v>
      </c>
      <c r="AP36" s="20">
        <v>400</v>
      </c>
      <c r="AQ36" s="4">
        <v>3</v>
      </c>
      <c r="AR36" s="20">
        <f t="shared" ref="AR36:AR48" si="11">AP36*AQ36</f>
        <v>1200</v>
      </c>
      <c r="AS36" s="4"/>
      <c r="AT36" s="4"/>
    </row>
    <row r="37" spans="1:46" ht="41.25" customHeight="1" x14ac:dyDescent="0.2">
      <c r="A37" s="4">
        <v>34</v>
      </c>
      <c r="B37" s="10">
        <v>45903</v>
      </c>
      <c r="C37" s="4">
        <v>25</v>
      </c>
      <c r="D37" s="4"/>
      <c r="E37" s="4">
        <f t="shared" si="4"/>
        <v>258</v>
      </c>
      <c r="F37" s="4">
        <v>25</v>
      </c>
      <c r="G37" s="4"/>
      <c r="H37" s="4">
        <f t="shared" si="5"/>
        <v>11</v>
      </c>
      <c r="I37" s="4">
        <f t="shared" si="0"/>
        <v>233</v>
      </c>
      <c r="J37" s="4"/>
      <c r="K37" s="4">
        <v>7</v>
      </c>
      <c r="L37" s="4">
        <f t="shared" si="6"/>
        <v>166</v>
      </c>
      <c r="N37" s="37"/>
      <c r="O37" s="4"/>
      <c r="P37" s="4"/>
      <c r="Q37" s="4"/>
      <c r="R37" s="4"/>
      <c r="S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N37" s="42">
        <v>28</v>
      </c>
      <c r="AO37" s="4" t="s">
        <v>84</v>
      </c>
      <c r="AP37" s="20">
        <v>300</v>
      </c>
      <c r="AQ37" s="4">
        <v>1</v>
      </c>
      <c r="AR37" s="20">
        <f t="shared" si="11"/>
        <v>300</v>
      </c>
      <c r="AS37" s="4"/>
      <c r="AT37" s="4"/>
    </row>
    <row r="38" spans="1:46" ht="41.25" customHeight="1" x14ac:dyDescent="0.2">
      <c r="A38" s="4">
        <v>35</v>
      </c>
      <c r="B38" s="10">
        <v>45904</v>
      </c>
      <c r="C38" s="4"/>
      <c r="D38" s="4"/>
      <c r="E38" s="4">
        <f t="shared" si="4"/>
        <v>258</v>
      </c>
      <c r="F38" s="4">
        <v>11</v>
      </c>
      <c r="G38" s="4"/>
      <c r="H38" s="4">
        <f t="shared" si="5"/>
        <v>14</v>
      </c>
      <c r="I38" s="4">
        <f t="shared" si="0"/>
        <v>247</v>
      </c>
      <c r="J38" s="4"/>
      <c r="K38" s="4">
        <v>3</v>
      </c>
      <c r="L38" s="4">
        <f t="shared" si="6"/>
        <v>169</v>
      </c>
      <c r="N38" s="37"/>
      <c r="O38" s="4"/>
      <c r="P38" s="4"/>
      <c r="Q38" s="4"/>
      <c r="R38" s="4"/>
      <c r="S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N38" s="43"/>
      <c r="AO38" s="4" t="s">
        <v>85</v>
      </c>
      <c r="AP38" s="25">
        <v>2.5</v>
      </c>
      <c r="AQ38" s="4">
        <v>1</v>
      </c>
      <c r="AR38" s="25">
        <f t="shared" si="11"/>
        <v>2.5</v>
      </c>
      <c r="AS38" s="4"/>
      <c r="AT38" s="4"/>
    </row>
    <row r="39" spans="1:46" ht="41.25" customHeight="1" x14ac:dyDescent="0.2">
      <c r="A39" s="4">
        <v>36</v>
      </c>
      <c r="B39" s="10">
        <v>45905</v>
      </c>
      <c r="C39" s="4">
        <v>25</v>
      </c>
      <c r="D39" s="4"/>
      <c r="E39" s="4">
        <f t="shared" si="4"/>
        <v>283</v>
      </c>
      <c r="F39" s="4">
        <v>22</v>
      </c>
      <c r="G39" s="4"/>
      <c r="H39" s="4">
        <f t="shared" si="5"/>
        <v>14</v>
      </c>
      <c r="I39" s="4">
        <f t="shared" si="0"/>
        <v>261</v>
      </c>
      <c r="J39" s="4"/>
      <c r="K39" s="4">
        <v>3</v>
      </c>
      <c r="L39" s="4">
        <f t="shared" si="6"/>
        <v>172</v>
      </c>
      <c r="N39" s="37"/>
      <c r="O39" s="4"/>
      <c r="P39" s="4"/>
      <c r="Q39" s="4"/>
      <c r="R39" s="4"/>
      <c r="S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N39" s="43"/>
      <c r="AO39" s="4" t="s">
        <v>69</v>
      </c>
      <c r="AP39" s="25">
        <v>4</v>
      </c>
      <c r="AQ39" s="4">
        <v>1</v>
      </c>
      <c r="AR39" s="25">
        <f t="shared" si="11"/>
        <v>4</v>
      </c>
      <c r="AS39" s="4"/>
      <c r="AT39" s="4"/>
    </row>
    <row r="40" spans="1:46" ht="41.25" customHeight="1" x14ac:dyDescent="0.2">
      <c r="A40" s="4">
        <v>37</v>
      </c>
      <c r="B40" s="10">
        <v>45906</v>
      </c>
      <c r="C40" s="4">
        <v>20</v>
      </c>
      <c r="D40" s="4"/>
      <c r="E40" s="4">
        <f t="shared" si="4"/>
        <v>303</v>
      </c>
      <c r="F40" s="4">
        <v>28</v>
      </c>
      <c r="G40" s="4"/>
      <c r="H40" s="4">
        <f t="shared" si="5"/>
        <v>14</v>
      </c>
      <c r="I40" s="4">
        <f t="shared" si="0"/>
        <v>275</v>
      </c>
      <c r="J40" s="4"/>
      <c r="K40" s="4">
        <v>1</v>
      </c>
      <c r="L40" s="4">
        <f t="shared" si="6"/>
        <v>173</v>
      </c>
      <c r="N40" s="37"/>
      <c r="O40" s="4"/>
      <c r="P40" s="4"/>
      <c r="Q40" s="4"/>
      <c r="R40" s="4"/>
      <c r="S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N40" s="44"/>
      <c r="AO40" s="4" t="s">
        <v>63</v>
      </c>
      <c r="AP40" s="11">
        <v>450</v>
      </c>
      <c r="AQ40" s="4">
        <v>1</v>
      </c>
      <c r="AR40" s="11">
        <f t="shared" si="11"/>
        <v>450</v>
      </c>
      <c r="AS40" s="4"/>
      <c r="AT40" s="4"/>
    </row>
    <row r="41" spans="1:46" ht="41.25" customHeight="1" x14ac:dyDescent="0.2">
      <c r="A41" s="4">
        <v>38</v>
      </c>
      <c r="B41" s="10">
        <v>45907</v>
      </c>
      <c r="C41" s="4"/>
      <c r="D41" s="4"/>
      <c r="E41" s="4">
        <f t="shared" si="4"/>
        <v>303</v>
      </c>
      <c r="F41" s="4">
        <v>16</v>
      </c>
      <c r="G41" s="4"/>
      <c r="H41" s="4">
        <f t="shared" si="5"/>
        <v>12</v>
      </c>
      <c r="I41" s="4">
        <f t="shared" si="0"/>
        <v>287</v>
      </c>
      <c r="J41" s="4"/>
      <c r="K41" s="4">
        <v>4</v>
      </c>
      <c r="L41" s="4">
        <f t="shared" si="6"/>
        <v>177</v>
      </c>
      <c r="N41" s="37"/>
      <c r="O41" s="4"/>
      <c r="P41" s="4"/>
      <c r="Q41" s="4"/>
      <c r="R41" s="4"/>
      <c r="S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N41" s="42" t="s">
        <v>73</v>
      </c>
      <c r="AO41" s="4" t="s">
        <v>67</v>
      </c>
      <c r="AP41" s="21">
        <v>5</v>
      </c>
      <c r="AQ41" s="4">
        <v>3</v>
      </c>
      <c r="AR41" s="21">
        <f t="shared" si="11"/>
        <v>15</v>
      </c>
      <c r="AS41" s="4"/>
      <c r="AT41" s="4"/>
    </row>
    <row r="42" spans="1:46" ht="41.25" customHeight="1" x14ac:dyDescent="0.2">
      <c r="A42" s="4">
        <v>39</v>
      </c>
      <c r="B42" s="10">
        <v>45908</v>
      </c>
      <c r="C42" s="4">
        <v>10</v>
      </c>
      <c r="D42" s="4"/>
      <c r="E42" s="4">
        <f t="shared" si="4"/>
        <v>313</v>
      </c>
      <c r="F42" s="4">
        <v>15</v>
      </c>
      <c r="G42" s="4"/>
      <c r="H42" s="4">
        <f t="shared" si="5"/>
        <v>11</v>
      </c>
      <c r="I42" s="4">
        <f t="shared" si="0"/>
        <v>298</v>
      </c>
      <c r="J42" s="4"/>
      <c r="K42" s="4">
        <v>8</v>
      </c>
      <c r="L42" s="4">
        <f t="shared" si="6"/>
        <v>185</v>
      </c>
      <c r="N42" s="37"/>
      <c r="O42" s="4"/>
      <c r="P42" s="4"/>
      <c r="Q42" s="4"/>
      <c r="R42" s="4"/>
      <c r="S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N42" s="43"/>
      <c r="AO42" s="4" t="s">
        <v>48</v>
      </c>
      <c r="AP42" s="11">
        <v>300</v>
      </c>
      <c r="AQ42" s="4">
        <v>3</v>
      </c>
      <c r="AR42" s="11">
        <f t="shared" si="11"/>
        <v>900</v>
      </c>
      <c r="AS42" s="4"/>
      <c r="AT42" s="4"/>
    </row>
    <row r="43" spans="1:46" ht="41.25" customHeight="1" x14ac:dyDescent="0.2">
      <c r="A43" s="4">
        <v>40</v>
      </c>
      <c r="B43" s="10">
        <v>45909</v>
      </c>
      <c r="C43" s="4">
        <v>11</v>
      </c>
      <c r="D43" s="4"/>
      <c r="E43" s="4">
        <f t="shared" si="4"/>
        <v>324</v>
      </c>
      <c r="F43" s="4">
        <v>17</v>
      </c>
      <c r="G43" s="4"/>
      <c r="H43" s="4">
        <f t="shared" si="5"/>
        <v>9</v>
      </c>
      <c r="I43" s="4">
        <f t="shared" si="0"/>
        <v>307</v>
      </c>
      <c r="J43" s="4"/>
      <c r="K43" s="4">
        <v>4</v>
      </c>
      <c r="L43" s="4">
        <f t="shared" si="6"/>
        <v>189</v>
      </c>
      <c r="N43" s="37"/>
      <c r="O43" s="4"/>
      <c r="P43" s="4"/>
      <c r="Q43" s="4"/>
      <c r="R43" s="4"/>
      <c r="S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N43" s="44"/>
      <c r="AO43" s="4" t="s">
        <v>72</v>
      </c>
      <c r="AP43" s="20">
        <v>360</v>
      </c>
      <c r="AQ43" s="4">
        <v>3</v>
      </c>
      <c r="AR43" s="20">
        <f t="shared" si="11"/>
        <v>1080</v>
      </c>
      <c r="AS43" s="4"/>
      <c r="AT43" s="4"/>
    </row>
    <row r="44" spans="1:46" ht="41.25" customHeight="1" x14ac:dyDescent="0.2">
      <c r="A44" s="4">
        <v>41</v>
      </c>
      <c r="B44" s="10">
        <v>45910</v>
      </c>
      <c r="C44" s="4"/>
      <c r="D44" s="4"/>
      <c r="E44" s="4">
        <f t="shared" si="4"/>
        <v>324</v>
      </c>
      <c r="F44" s="4">
        <v>11</v>
      </c>
      <c r="G44" s="4"/>
      <c r="H44" s="4">
        <f t="shared" si="5"/>
        <v>6</v>
      </c>
      <c r="I44" s="4">
        <f t="shared" si="0"/>
        <v>313</v>
      </c>
      <c r="J44" s="4"/>
      <c r="K44" s="4">
        <v>2</v>
      </c>
      <c r="L44" s="4">
        <f t="shared" si="6"/>
        <v>191</v>
      </c>
      <c r="N44" s="37"/>
      <c r="O44" s="4"/>
      <c r="P44" s="4"/>
      <c r="Q44" s="4"/>
      <c r="R44" s="4"/>
      <c r="S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N44" s="42" t="s">
        <v>118</v>
      </c>
      <c r="AO44" s="4" t="s">
        <v>137</v>
      </c>
      <c r="AP44" s="11">
        <v>200</v>
      </c>
      <c r="AQ44" s="4">
        <v>3</v>
      </c>
      <c r="AR44" s="11">
        <f t="shared" si="11"/>
        <v>600</v>
      </c>
      <c r="AS44" s="4"/>
      <c r="AT44" s="4"/>
    </row>
    <row r="45" spans="1:46" ht="41.25" customHeight="1" x14ac:dyDescent="0.2">
      <c r="A45" s="4">
        <v>42</v>
      </c>
      <c r="B45" s="10">
        <v>45911</v>
      </c>
      <c r="C45" s="4"/>
      <c r="D45" s="4"/>
      <c r="E45" s="4">
        <f t="shared" si="4"/>
        <v>324</v>
      </c>
      <c r="F45" s="4">
        <v>6</v>
      </c>
      <c r="G45" s="4"/>
      <c r="H45" s="4">
        <f t="shared" si="5"/>
        <v>5</v>
      </c>
      <c r="I45" s="4">
        <f t="shared" si="0"/>
        <v>318</v>
      </c>
      <c r="J45" s="4"/>
      <c r="K45" s="4">
        <v>3</v>
      </c>
      <c r="L45" s="4">
        <f t="shared" si="6"/>
        <v>194</v>
      </c>
      <c r="N45" s="37"/>
      <c r="O45" s="4"/>
      <c r="P45" s="4"/>
      <c r="Q45" s="4"/>
      <c r="R45" s="4"/>
      <c r="S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N45" s="43"/>
      <c r="AO45" s="4" t="s">
        <v>88</v>
      </c>
      <c r="AP45" s="11">
        <v>120</v>
      </c>
      <c r="AQ45" s="4">
        <v>3</v>
      </c>
      <c r="AR45" s="11">
        <f t="shared" si="11"/>
        <v>360</v>
      </c>
      <c r="AS45" s="4"/>
      <c r="AT45" s="4"/>
    </row>
    <row r="46" spans="1:46" ht="41.25" customHeight="1" x14ac:dyDescent="0.2">
      <c r="A46" s="4">
        <v>43</v>
      </c>
      <c r="B46" s="10">
        <v>45912</v>
      </c>
      <c r="C46" s="4"/>
      <c r="D46" s="4"/>
      <c r="E46" s="4">
        <f t="shared" si="4"/>
        <v>324</v>
      </c>
      <c r="F46" s="4">
        <v>4</v>
      </c>
      <c r="G46" s="4"/>
      <c r="H46" s="4">
        <f t="shared" si="5"/>
        <v>2</v>
      </c>
      <c r="I46" s="4">
        <f t="shared" si="0"/>
        <v>320</v>
      </c>
      <c r="J46" s="4"/>
      <c r="K46" s="4">
        <v>4</v>
      </c>
      <c r="L46" s="4">
        <f t="shared" si="6"/>
        <v>198</v>
      </c>
      <c r="N46" s="37"/>
      <c r="O46" s="4"/>
      <c r="P46" s="4"/>
      <c r="Q46" s="4"/>
      <c r="R46" s="4"/>
      <c r="S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N46" s="44"/>
      <c r="AO46" s="4" t="s">
        <v>47</v>
      </c>
      <c r="AP46" s="20">
        <v>450</v>
      </c>
      <c r="AQ46" s="4">
        <v>3</v>
      </c>
      <c r="AR46" s="20">
        <f t="shared" si="11"/>
        <v>1350</v>
      </c>
      <c r="AS46" s="4"/>
      <c r="AT46" s="4"/>
    </row>
    <row r="47" spans="1:46" ht="41.25" customHeight="1" x14ac:dyDescent="0.2">
      <c r="A47" s="4">
        <v>44</v>
      </c>
      <c r="B47" s="10">
        <v>45913</v>
      </c>
      <c r="C47" s="4"/>
      <c r="D47" s="4"/>
      <c r="E47" s="4">
        <f t="shared" si="4"/>
        <v>324</v>
      </c>
      <c r="F47" s="4"/>
      <c r="G47" s="4"/>
      <c r="H47" s="4">
        <f t="shared" si="5"/>
        <v>4</v>
      </c>
      <c r="I47" s="4">
        <f t="shared" si="0"/>
        <v>324</v>
      </c>
      <c r="J47" s="4"/>
      <c r="K47" s="4"/>
      <c r="L47" s="4">
        <f t="shared" si="6"/>
        <v>198</v>
      </c>
      <c r="N47" s="37"/>
      <c r="O47" s="4"/>
      <c r="P47" s="4"/>
      <c r="Q47" s="4"/>
      <c r="R47" s="4"/>
      <c r="S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N47" s="42" t="s">
        <v>90</v>
      </c>
      <c r="AO47" s="4" t="s">
        <v>72</v>
      </c>
      <c r="AP47" s="20">
        <v>550</v>
      </c>
      <c r="AQ47" s="4">
        <v>3</v>
      </c>
      <c r="AR47" s="20">
        <f t="shared" si="11"/>
        <v>1650</v>
      </c>
      <c r="AS47" s="4"/>
      <c r="AT47" s="4"/>
    </row>
    <row r="48" spans="1:46" ht="41.25" customHeight="1" x14ac:dyDescent="0.2">
      <c r="A48" s="4">
        <v>45</v>
      </c>
      <c r="B48" s="10">
        <v>45914</v>
      </c>
      <c r="C48" s="4"/>
      <c r="D48" s="4"/>
      <c r="E48" s="4">
        <f t="shared" si="4"/>
        <v>324</v>
      </c>
      <c r="F48" s="4"/>
      <c r="G48" s="4"/>
      <c r="H48" s="4">
        <f t="shared" si="5"/>
        <v>0</v>
      </c>
      <c r="I48" s="4">
        <f t="shared" si="0"/>
        <v>324</v>
      </c>
      <c r="J48" s="4"/>
      <c r="K48" s="4"/>
      <c r="L48" s="4">
        <f t="shared" si="6"/>
        <v>198</v>
      </c>
      <c r="N48" s="37"/>
      <c r="O48" s="4"/>
      <c r="P48" s="4"/>
      <c r="Q48" s="4"/>
      <c r="R48" s="4"/>
      <c r="S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N48" s="43"/>
      <c r="AO48" s="4" t="s">
        <v>67</v>
      </c>
      <c r="AP48" s="21">
        <v>3</v>
      </c>
      <c r="AQ48" s="4">
        <v>3</v>
      </c>
      <c r="AR48" s="21">
        <f t="shared" si="11"/>
        <v>9</v>
      </c>
      <c r="AS48" s="4"/>
      <c r="AT48" s="4"/>
    </row>
    <row r="49" spans="1:46" ht="41.25" customHeight="1" x14ac:dyDescent="0.2">
      <c r="A49" s="4">
        <v>46</v>
      </c>
      <c r="B49" s="10">
        <v>45915</v>
      </c>
      <c r="C49" s="4"/>
      <c r="D49" s="4"/>
      <c r="E49" s="4">
        <f t="shared" si="4"/>
        <v>324</v>
      </c>
      <c r="F49" s="4"/>
      <c r="G49" s="4"/>
      <c r="H49" s="4">
        <f t="shared" si="5"/>
        <v>0</v>
      </c>
      <c r="I49" s="4">
        <f t="shared" si="0"/>
        <v>324</v>
      </c>
      <c r="J49" s="4"/>
      <c r="K49" s="4"/>
      <c r="L49" s="4">
        <f t="shared" si="6"/>
        <v>198</v>
      </c>
      <c r="N49" s="37"/>
      <c r="O49" s="4"/>
      <c r="P49" s="4"/>
      <c r="Q49" s="4"/>
      <c r="R49" s="4"/>
      <c r="S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N49" s="44"/>
      <c r="AO49" s="4" t="s">
        <v>48</v>
      </c>
      <c r="AP49" s="11">
        <v>250</v>
      </c>
      <c r="AQ49" s="4">
        <v>3</v>
      </c>
      <c r="AR49" s="11"/>
      <c r="AS49" s="4"/>
      <c r="AT49" s="4"/>
    </row>
    <row r="50" spans="1:46" ht="41.25" customHeight="1" x14ac:dyDescent="0.2">
      <c r="A50" s="4">
        <v>47</v>
      </c>
      <c r="B50" s="10">
        <v>45916</v>
      </c>
      <c r="C50" s="4"/>
      <c r="D50" s="4"/>
      <c r="E50" s="4">
        <f t="shared" si="4"/>
        <v>324</v>
      </c>
      <c r="F50" s="4"/>
      <c r="G50" s="4"/>
      <c r="H50" s="4">
        <f t="shared" si="5"/>
        <v>0</v>
      </c>
      <c r="I50" s="4">
        <f t="shared" si="0"/>
        <v>324</v>
      </c>
      <c r="J50" s="4"/>
      <c r="K50" s="4"/>
      <c r="L50" s="4">
        <f t="shared" si="6"/>
        <v>198</v>
      </c>
      <c r="N50" s="37"/>
      <c r="O50" s="4"/>
      <c r="P50" s="4"/>
      <c r="Q50" s="4"/>
      <c r="R50" s="4"/>
      <c r="S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N50" s="4"/>
      <c r="AO50" s="4"/>
      <c r="AP50" s="4"/>
      <c r="AQ50" s="4"/>
      <c r="AR50" s="4"/>
      <c r="AS50" s="4"/>
      <c r="AT50" s="4"/>
    </row>
    <row r="51" spans="1:46" ht="41.25" customHeight="1" x14ac:dyDescent="0.2">
      <c r="A51" s="4">
        <v>48</v>
      </c>
      <c r="B51" s="10">
        <v>45917</v>
      </c>
      <c r="C51" s="4"/>
      <c r="D51" s="4"/>
      <c r="E51" s="4">
        <f t="shared" si="4"/>
        <v>324</v>
      </c>
      <c r="F51" s="4"/>
      <c r="G51" s="4"/>
      <c r="H51" s="4">
        <f t="shared" si="5"/>
        <v>0</v>
      </c>
      <c r="I51" s="4">
        <f t="shared" si="0"/>
        <v>324</v>
      </c>
      <c r="J51" s="4"/>
      <c r="K51" s="4"/>
      <c r="L51" s="4">
        <f t="shared" si="6"/>
        <v>198</v>
      </c>
      <c r="N51" s="37"/>
      <c r="O51" s="4"/>
      <c r="P51" s="4"/>
      <c r="Q51" s="4"/>
      <c r="R51" s="4"/>
      <c r="S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N51" s="4"/>
      <c r="AO51" s="4"/>
      <c r="AP51" s="4"/>
      <c r="AQ51" s="4"/>
      <c r="AR51" s="4"/>
      <c r="AS51" s="4"/>
      <c r="AT51" s="4"/>
    </row>
    <row r="52" spans="1:46" ht="41.25" customHeight="1" x14ac:dyDescent="0.2">
      <c r="A52" s="4">
        <v>49</v>
      </c>
      <c r="B52" s="10">
        <v>45918</v>
      </c>
      <c r="C52" s="4"/>
      <c r="D52" s="4"/>
      <c r="E52" s="4">
        <f t="shared" si="4"/>
        <v>324</v>
      </c>
      <c r="F52" s="4"/>
      <c r="G52" s="4"/>
      <c r="H52" s="4">
        <f t="shared" si="5"/>
        <v>0</v>
      </c>
      <c r="I52" s="4">
        <f t="shared" si="0"/>
        <v>324</v>
      </c>
      <c r="J52" s="4"/>
      <c r="K52" s="4"/>
      <c r="L52" s="4">
        <f t="shared" si="6"/>
        <v>198</v>
      </c>
      <c r="N52" s="37"/>
      <c r="O52" s="4"/>
      <c r="P52" s="4"/>
      <c r="Q52" s="4"/>
      <c r="R52" s="4"/>
      <c r="S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N52" s="4"/>
      <c r="AO52" s="4"/>
      <c r="AP52" s="4"/>
      <c r="AQ52" s="4"/>
      <c r="AR52" s="4"/>
      <c r="AS52" s="4"/>
      <c r="AT52" s="4"/>
    </row>
    <row r="53" spans="1:46" ht="41.25" customHeight="1" x14ac:dyDescent="0.2">
      <c r="A53" s="4">
        <v>50</v>
      </c>
      <c r="B53" s="10">
        <v>45919</v>
      </c>
      <c r="C53" s="4"/>
      <c r="D53" s="4"/>
      <c r="E53" s="4">
        <f t="shared" si="4"/>
        <v>324</v>
      </c>
      <c r="F53" s="4"/>
      <c r="G53" s="4"/>
      <c r="H53" s="4">
        <f t="shared" si="5"/>
        <v>0</v>
      </c>
      <c r="I53" s="4">
        <f t="shared" si="0"/>
        <v>324</v>
      </c>
      <c r="J53" s="4"/>
      <c r="K53" s="4"/>
      <c r="L53" s="4">
        <f t="shared" si="6"/>
        <v>198</v>
      </c>
      <c r="N53" s="37"/>
      <c r="O53" s="4"/>
      <c r="P53" s="4"/>
      <c r="Q53" s="4"/>
      <c r="R53" s="4"/>
      <c r="S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N53" s="4"/>
      <c r="AO53" s="4"/>
      <c r="AP53" s="4"/>
      <c r="AQ53" s="4"/>
      <c r="AR53" s="4"/>
      <c r="AS53" s="4"/>
      <c r="AT53" s="4"/>
    </row>
    <row r="54" spans="1:46" ht="41.25" customHeight="1" x14ac:dyDescent="0.2">
      <c r="AF54" s="4"/>
      <c r="AG54" s="4"/>
      <c r="AH54" s="4"/>
      <c r="AI54" s="4"/>
      <c r="AJ54" s="4"/>
      <c r="AK54" s="4"/>
      <c r="AL54" s="4"/>
      <c r="AN54" s="4"/>
      <c r="AO54" s="4"/>
      <c r="AP54" s="4"/>
      <c r="AQ54" s="4"/>
      <c r="AR54" s="4"/>
      <c r="AS54" s="4"/>
      <c r="AT54" s="4"/>
    </row>
    <row r="55" spans="1:46" ht="41.25" customHeight="1" x14ac:dyDescent="0.2">
      <c r="AF55" s="4"/>
      <c r="AG55" s="4"/>
      <c r="AH55" s="4"/>
      <c r="AI55" s="4"/>
      <c r="AJ55" s="4"/>
      <c r="AK55" s="4"/>
      <c r="AL55" s="4"/>
      <c r="AM55" s="1"/>
      <c r="AN55" s="4"/>
      <c r="AO55" s="4"/>
      <c r="AP55" s="4"/>
      <c r="AQ55" s="4"/>
      <c r="AR55" s="4"/>
      <c r="AS55" s="4"/>
      <c r="AT55" s="4"/>
    </row>
    <row r="56" spans="1:46" ht="41.25" customHeight="1" x14ac:dyDescent="0.2">
      <c r="AN56" s="4"/>
      <c r="AO56" s="4"/>
      <c r="AP56" s="4"/>
      <c r="AQ56" s="4"/>
      <c r="AR56" s="4"/>
      <c r="AS56" s="4"/>
      <c r="AT56" s="4"/>
    </row>
    <row r="57" spans="1:46" ht="41.25" customHeight="1" x14ac:dyDescent="0.2">
      <c r="AN57" s="4"/>
      <c r="AO57" s="4"/>
      <c r="AP57" s="4"/>
      <c r="AQ57" s="4"/>
      <c r="AR57" s="4"/>
      <c r="AS57" s="4"/>
      <c r="AT57" s="4"/>
    </row>
    <row r="58" spans="1:46" ht="41.25" customHeight="1" x14ac:dyDescent="0.2">
      <c r="AN58" s="4"/>
      <c r="AO58" s="4"/>
      <c r="AP58" s="4"/>
      <c r="AQ58" s="4"/>
      <c r="AR58" s="4"/>
      <c r="AS58" s="4"/>
      <c r="AT58" s="4"/>
    </row>
    <row r="59" spans="1:46" ht="41.25" customHeight="1" x14ac:dyDescent="0.2">
      <c r="AN59" s="4"/>
      <c r="AO59" s="4"/>
      <c r="AP59" s="4"/>
      <c r="AQ59" s="4"/>
      <c r="AR59" s="4"/>
      <c r="AS59" s="4"/>
      <c r="AT59" s="4"/>
    </row>
    <row r="60" spans="1:46" ht="41.25" customHeight="1" x14ac:dyDescent="0.2">
      <c r="AN60" s="4"/>
      <c r="AO60" s="4"/>
      <c r="AP60" s="4"/>
      <c r="AQ60" s="4"/>
      <c r="AR60" s="4"/>
      <c r="AS60" s="4"/>
      <c r="AT60" s="4"/>
    </row>
    <row r="61" spans="1:46" ht="41.25" customHeight="1" x14ac:dyDescent="0.2">
      <c r="AN61" s="4"/>
      <c r="AO61" s="4"/>
      <c r="AP61" s="4"/>
      <c r="AQ61" s="4"/>
      <c r="AR61" s="4"/>
      <c r="AS61" s="4"/>
      <c r="AT61" s="4"/>
    </row>
    <row r="62" spans="1:46" ht="41.25" customHeight="1" x14ac:dyDescent="0.2">
      <c r="AN62" s="4"/>
      <c r="AO62" s="4"/>
      <c r="AP62" s="4"/>
      <c r="AQ62" s="4"/>
      <c r="AR62" s="4"/>
      <c r="AS62" s="4"/>
      <c r="AT62" s="4"/>
    </row>
    <row r="63" spans="1:46" ht="41.25" customHeight="1" x14ac:dyDescent="0.2">
      <c r="AN63" s="4"/>
      <c r="AO63" s="4"/>
      <c r="AP63" s="4"/>
      <c r="AQ63" s="4"/>
      <c r="AR63" s="4"/>
      <c r="AS63" s="4"/>
      <c r="AT63" s="4"/>
    </row>
    <row r="64" spans="1:46" ht="41.25" customHeight="1" x14ac:dyDescent="0.2">
      <c r="AN64" s="4"/>
      <c r="AO64" s="4"/>
      <c r="AP64" s="4"/>
      <c r="AQ64" s="4"/>
      <c r="AR64" s="4"/>
      <c r="AS64" s="4"/>
      <c r="AT64" s="4"/>
    </row>
  </sheetData>
  <mergeCells count="31">
    <mergeCell ref="A2:B2"/>
    <mergeCell ref="C2:K2"/>
    <mergeCell ref="AD2:AG2"/>
    <mergeCell ref="O2:S2"/>
    <mergeCell ref="O20:O31"/>
    <mergeCell ref="N21:N22"/>
    <mergeCell ref="N23:N24"/>
    <mergeCell ref="N26:N27"/>
    <mergeCell ref="O4:O9"/>
    <mergeCell ref="O10:O19"/>
    <mergeCell ref="N14:N15"/>
    <mergeCell ref="N4:N5"/>
    <mergeCell ref="AN2:AT2"/>
    <mergeCell ref="U2:V2"/>
    <mergeCell ref="W2:X2"/>
    <mergeCell ref="Y2:AA2"/>
    <mergeCell ref="C1:K1"/>
    <mergeCell ref="U1:AL1"/>
    <mergeCell ref="AN37:AN40"/>
    <mergeCell ref="AN41:AN43"/>
    <mergeCell ref="AN44:AN46"/>
    <mergeCell ref="AN47:AN49"/>
    <mergeCell ref="AN4:AN7"/>
    <mergeCell ref="AN8:AN11"/>
    <mergeCell ref="AN12:AN15"/>
    <mergeCell ref="AN16:AN19"/>
    <mergeCell ref="AN20:AN23"/>
    <mergeCell ref="AN24:AN25"/>
    <mergeCell ref="AN26:AN27"/>
    <mergeCell ref="AN28:AN32"/>
    <mergeCell ref="AN33:AN35"/>
  </mergeCells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DB28-F8E2-4FEC-A0A6-13365904C3FD}">
  <sheetPr>
    <tabColor theme="6" tint="0.39997558519241921"/>
  </sheetPr>
  <dimension ref="A1:AT64"/>
  <sheetViews>
    <sheetView zoomScale="85" zoomScaleNormal="85" workbookViewId="0">
      <selection sqref="A1:XFD1048576"/>
    </sheetView>
  </sheetViews>
  <sheetFormatPr defaultColWidth="12.125" defaultRowHeight="18" x14ac:dyDescent="0.2"/>
  <cols>
    <col min="1" max="1" width="12.125" style="1"/>
    <col min="2" max="2" width="16.75" style="1" customWidth="1"/>
    <col min="3" max="5" width="12.125" style="1"/>
    <col min="6" max="6" width="13.375" style="1" customWidth="1"/>
    <col min="7" max="7" width="11.25" style="1" bestFit="1" customWidth="1"/>
    <col min="8" max="9" width="21.875" style="1" bestFit="1" customWidth="1"/>
    <col min="10" max="10" width="12.5" style="1" customWidth="1"/>
    <col min="11" max="11" width="13.25" style="1" customWidth="1"/>
    <col min="12" max="12" width="16.125" style="1" bestFit="1" customWidth="1"/>
    <col min="13" max="13" width="7.625" style="3" customWidth="1"/>
    <col min="14" max="14" width="16.25" customWidth="1"/>
    <col min="15" max="15" width="20.875" style="1" customWidth="1"/>
    <col min="16" max="16" width="19.5" style="1" customWidth="1"/>
    <col min="17" max="17" width="18.25" style="1" customWidth="1"/>
    <col min="18" max="18" width="17.625" style="1" customWidth="1"/>
    <col min="19" max="19" width="21.375" style="1" customWidth="1"/>
    <col min="20" max="20" width="8.5" style="2" customWidth="1"/>
    <col min="21" max="21" width="15.625" style="1" customWidth="1"/>
    <col min="22" max="22" width="14.75" style="1" customWidth="1"/>
    <col min="23" max="23" width="15.375" style="1" customWidth="1"/>
    <col min="24" max="24" width="23" style="1" customWidth="1"/>
    <col min="25" max="26" width="22.625" style="1" customWidth="1"/>
    <col min="27" max="27" width="13" style="1" bestFit="1" customWidth="1"/>
    <col min="28" max="28" width="16.375" style="1" bestFit="1" customWidth="1"/>
    <col min="29" max="29" width="23.125" style="1" bestFit="1" customWidth="1"/>
    <col min="30" max="30" width="23.125" style="1" customWidth="1"/>
    <col min="31" max="31" width="12" style="1" customWidth="1"/>
    <col min="32" max="33" width="12.125" style="1"/>
    <col min="34" max="34" width="30.75" style="1" bestFit="1" customWidth="1"/>
    <col min="35" max="35" width="30.75" style="1" customWidth="1"/>
    <col min="36" max="36" width="29" style="1" bestFit="1" customWidth="1"/>
    <col min="37" max="37" width="13.75" style="1" customWidth="1"/>
    <col min="38" max="38" width="13.875" style="1" customWidth="1"/>
    <col min="39" max="39" width="10.375" style="7" customWidth="1"/>
    <col min="40" max="41" width="18.625" style="1" customWidth="1"/>
    <col min="42" max="42" width="19.125" style="1" customWidth="1"/>
    <col min="43" max="43" width="15.75" style="1" customWidth="1"/>
    <col min="44" max="44" width="16.5" style="1" customWidth="1"/>
    <col min="45" max="45" width="17.75" style="1" customWidth="1"/>
    <col min="46" max="46" width="17.375" style="1" customWidth="1"/>
    <col min="47" max="16384" width="12.125" style="1"/>
  </cols>
  <sheetData>
    <row r="1" spans="1:46" ht="41.25" customHeight="1" x14ac:dyDescent="0.2">
      <c r="A1" s="4"/>
      <c r="B1" s="9"/>
      <c r="C1" s="46" t="s">
        <v>138</v>
      </c>
      <c r="D1" s="46"/>
      <c r="E1" s="46"/>
      <c r="F1" s="46"/>
      <c r="G1" s="46"/>
      <c r="H1" s="46"/>
      <c r="I1" s="46"/>
      <c r="J1" s="46"/>
      <c r="K1" s="47"/>
      <c r="L1" s="4"/>
      <c r="N1" s="35"/>
      <c r="O1" s="36"/>
      <c r="P1" s="36"/>
      <c r="Q1" s="36"/>
      <c r="R1" s="36"/>
      <c r="S1" s="36"/>
      <c r="U1" s="45" t="s">
        <v>26</v>
      </c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N1" s="4"/>
      <c r="AO1" s="4"/>
      <c r="AP1" s="4"/>
      <c r="AQ1" s="4"/>
      <c r="AR1" s="4"/>
      <c r="AS1" s="4"/>
      <c r="AT1" s="4"/>
    </row>
    <row r="2" spans="1:46" ht="41.25" customHeight="1" x14ac:dyDescent="0.2">
      <c r="A2" s="51">
        <v>45883</v>
      </c>
      <c r="B2" s="46"/>
      <c r="C2" s="46" t="s">
        <v>139</v>
      </c>
      <c r="D2" s="46"/>
      <c r="E2" s="46"/>
      <c r="F2" s="46"/>
      <c r="G2" s="46"/>
      <c r="H2" s="46"/>
      <c r="I2" s="46"/>
      <c r="J2" s="46"/>
      <c r="K2" s="47"/>
      <c r="L2" s="4" t="s">
        <v>37</v>
      </c>
      <c r="N2" s="35"/>
      <c r="O2" s="48" t="s">
        <v>27</v>
      </c>
      <c r="P2" s="48"/>
      <c r="Q2" s="48"/>
      <c r="R2" s="48"/>
      <c r="S2" s="48"/>
      <c r="U2" s="45" t="s">
        <v>40</v>
      </c>
      <c r="V2" s="46"/>
      <c r="W2" s="45" t="s">
        <v>41</v>
      </c>
      <c r="X2" s="47"/>
      <c r="Y2" s="45">
        <v>4080</v>
      </c>
      <c r="Z2" s="46"/>
      <c r="AA2" s="47"/>
      <c r="AB2" s="6"/>
      <c r="AC2" s="6"/>
      <c r="AD2" s="46" t="s">
        <v>9</v>
      </c>
      <c r="AE2" s="46"/>
      <c r="AF2" s="46"/>
      <c r="AG2" s="47"/>
      <c r="AH2" s="4" t="s">
        <v>18</v>
      </c>
      <c r="AI2" s="4"/>
      <c r="AJ2" s="4">
        <v>3880</v>
      </c>
      <c r="AK2" s="8"/>
      <c r="AL2" s="4"/>
      <c r="AN2" s="48" t="s">
        <v>33</v>
      </c>
      <c r="AO2" s="48"/>
      <c r="AP2" s="48"/>
      <c r="AQ2" s="48"/>
      <c r="AR2" s="48"/>
      <c r="AS2" s="48"/>
      <c r="AT2" s="48"/>
    </row>
    <row r="3" spans="1:46" ht="41.2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11</v>
      </c>
      <c r="I3" s="4" t="s">
        <v>7</v>
      </c>
      <c r="J3" s="4" t="s">
        <v>8</v>
      </c>
      <c r="K3" s="4" t="s">
        <v>9</v>
      </c>
      <c r="L3" s="4" t="s">
        <v>10</v>
      </c>
      <c r="N3" s="4" t="s">
        <v>1</v>
      </c>
      <c r="O3" s="4" t="s">
        <v>12</v>
      </c>
      <c r="P3" s="4" t="s">
        <v>13</v>
      </c>
      <c r="Q3" s="4" t="s">
        <v>14</v>
      </c>
      <c r="R3" s="4" t="s">
        <v>15</v>
      </c>
      <c r="S3" s="4" t="s">
        <v>16</v>
      </c>
      <c r="U3" s="4" t="s">
        <v>1</v>
      </c>
      <c r="V3" s="4" t="s">
        <v>17</v>
      </c>
      <c r="W3" s="4" t="s">
        <v>8</v>
      </c>
      <c r="X3" s="4" t="s">
        <v>18</v>
      </c>
      <c r="Y3" s="4" t="s">
        <v>19</v>
      </c>
      <c r="Z3" s="4" t="s">
        <v>8</v>
      </c>
      <c r="AA3" s="4" t="s">
        <v>38</v>
      </c>
      <c r="AB3" s="4" t="s">
        <v>25</v>
      </c>
      <c r="AC3" s="4" t="s">
        <v>18</v>
      </c>
      <c r="AD3" s="4" t="s">
        <v>23</v>
      </c>
      <c r="AE3" s="4" t="s">
        <v>20</v>
      </c>
      <c r="AF3" s="4" t="s">
        <v>21</v>
      </c>
      <c r="AG3" s="4" t="s">
        <v>22</v>
      </c>
      <c r="AH3" s="4" t="s">
        <v>43</v>
      </c>
      <c r="AI3" s="4" t="s">
        <v>7</v>
      </c>
      <c r="AJ3" s="4" t="s">
        <v>44</v>
      </c>
      <c r="AK3" s="4" t="s">
        <v>8</v>
      </c>
      <c r="AL3" s="4" t="s">
        <v>24</v>
      </c>
      <c r="AN3" s="4" t="s">
        <v>28</v>
      </c>
      <c r="AO3" s="4" t="s">
        <v>29</v>
      </c>
      <c r="AP3" s="4" t="s">
        <v>14</v>
      </c>
      <c r="AQ3" s="4" t="s">
        <v>30</v>
      </c>
      <c r="AR3" s="4" t="s">
        <v>31</v>
      </c>
      <c r="AS3" s="4" t="s">
        <v>32</v>
      </c>
      <c r="AT3" s="4" t="s">
        <v>16</v>
      </c>
    </row>
    <row r="4" spans="1:46" ht="41.25" customHeight="1" x14ac:dyDescent="0.2">
      <c r="A4" s="4">
        <v>1</v>
      </c>
      <c r="B4" s="10">
        <v>45884</v>
      </c>
      <c r="C4" s="4">
        <v>11</v>
      </c>
      <c r="D4" s="4"/>
      <c r="E4" s="4">
        <v>11</v>
      </c>
      <c r="F4" s="4">
        <v>10</v>
      </c>
      <c r="G4" s="4"/>
      <c r="H4" s="4">
        <v>1</v>
      </c>
      <c r="I4" s="4">
        <f>E4-F4-G4</f>
        <v>1</v>
      </c>
      <c r="J4" s="4"/>
      <c r="K4" s="4">
        <v>1</v>
      </c>
      <c r="L4" s="4">
        <v>1</v>
      </c>
      <c r="N4" s="54">
        <v>45868</v>
      </c>
      <c r="O4" s="48" t="s">
        <v>122</v>
      </c>
      <c r="P4" s="4" t="s">
        <v>123</v>
      </c>
      <c r="Q4" s="4">
        <v>5</v>
      </c>
      <c r="R4" s="4"/>
      <c r="S4" s="4"/>
      <c r="U4" s="16">
        <v>45925</v>
      </c>
      <c r="V4" s="4">
        <v>700</v>
      </c>
      <c r="W4" s="4">
        <v>1136.9000000000001</v>
      </c>
      <c r="X4" s="4">
        <v>700</v>
      </c>
      <c r="Y4" s="4">
        <v>1136.9000000000001</v>
      </c>
      <c r="Z4" s="4">
        <f>Y4/X4</f>
        <v>1.6241428571428573</v>
      </c>
      <c r="AA4" s="4">
        <v>149</v>
      </c>
      <c r="AB4" s="4">
        <f>AA4*100/Y2</f>
        <v>3.6519607843137254</v>
      </c>
      <c r="AC4" s="4">
        <v>3880</v>
      </c>
      <c r="AD4" s="4">
        <f>AC4+AA4-Y2</f>
        <v>-51</v>
      </c>
      <c r="AE4" s="4"/>
      <c r="AF4" s="4"/>
      <c r="AG4" s="4"/>
      <c r="AH4" s="4"/>
      <c r="AI4" s="4"/>
      <c r="AJ4" s="4"/>
      <c r="AK4" s="4">
        <f>AH4/AJ2</f>
        <v>0</v>
      </c>
      <c r="AL4" s="4" t="e">
        <f>AJ4/AH5</f>
        <v>#DIV/0!</v>
      </c>
      <c r="AN4" s="48" t="s">
        <v>105</v>
      </c>
      <c r="AO4" s="4" t="s">
        <v>45</v>
      </c>
      <c r="AP4" s="20">
        <v>55</v>
      </c>
      <c r="AQ4" s="4">
        <v>2</v>
      </c>
      <c r="AR4" s="20">
        <f>AP4*AQ4</f>
        <v>110</v>
      </c>
      <c r="AS4" s="4"/>
      <c r="AT4" s="4"/>
    </row>
    <row r="5" spans="1:46" ht="41.25" customHeight="1" x14ac:dyDescent="0.2">
      <c r="A5" s="4">
        <v>2</v>
      </c>
      <c r="B5" s="10">
        <v>45885</v>
      </c>
      <c r="C5" s="4"/>
      <c r="D5" s="4"/>
      <c r="E5" s="4">
        <f>C5+D5+E4</f>
        <v>11</v>
      </c>
      <c r="F5" s="4">
        <v>8.5</v>
      </c>
      <c r="G5" s="4"/>
      <c r="H5" s="4">
        <f>I5-I4</f>
        <v>1.5</v>
      </c>
      <c r="I5" s="4">
        <f t="shared" ref="I5:I53" si="0">E5-F5-G5</f>
        <v>2.5</v>
      </c>
      <c r="J5" s="4"/>
      <c r="K5" s="4"/>
      <c r="L5" s="4">
        <f>L4+K5</f>
        <v>1</v>
      </c>
      <c r="N5" s="54"/>
      <c r="O5" s="48"/>
      <c r="P5" s="4" t="s">
        <v>124</v>
      </c>
      <c r="Q5" s="4">
        <v>5</v>
      </c>
      <c r="R5" s="4"/>
      <c r="S5" s="4"/>
      <c r="U5" s="16">
        <v>45926</v>
      </c>
      <c r="V5" s="4">
        <v>649</v>
      </c>
      <c r="W5" s="4">
        <v>1128.1500000000001</v>
      </c>
      <c r="X5" s="4">
        <f>X4+V5</f>
        <v>1349</v>
      </c>
      <c r="Y5" s="4">
        <f>Y4+W5</f>
        <v>2265.0500000000002</v>
      </c>
      <c r="Z5" s="4">
        <f t="shared" ref="Z5:Z7" si="1">Y5/X5</f>
        <v>1.6790585618977021</v>
      </c>
      <c r="AA5" s="4"/>
      <c r="AB5" s="4"/>
      <c r="AC5" s="4"/>
      <c r="AD5" s="4"/>
      <c r="AE5" s="4">
        <f>AE4*0.3</f>
        <v>0</v>
      </c>
      <c r="AF5" s="4">
        <f>AF4*0.7</f>
        <v>0</v>
      </c>
      <c r="AG5" s="4">
        <f>AG4*0.8</f>
        <v>0</v>
      </c>
      <c r="AH5" s="4"/>
      <c r="AI5" s="4"/>
      <c r="AJ5" s="4"/>
      <c r="AK5" s="4"/>
      <c r="AL5" s="4"/>
      <c r="AN5" s="48"/>
      <c r="AO5" s="4" t="s">
        <v>77</v>
      </c>
      <c r="AP5" s="20">
        <v>40</v>
      </c>
      <c r="AQ5" s="4">
        <v>2</v>
      </c>
      <c r="AR5" s="20">
        <f t="shared" ref="AR5:AR13" si="2">AP5*AQ5</f>
        <v>80</v>
      </c>
      <c r="AS5" s="4"/>
      <c r="AT5" s="4"/>
    </row>
    <row r="6" spans="1:46" ht="41.25" customHeight="1" x14ac:dyDescent="0.2">
      <c r="A6" s="4">
        <v>3</v>
      </c>
      <c r="B6" s="10">
        <v>45886</v>
      </c>
      <c r="C6" s="4"/>
      <c r="D6" s="4"/>
      <c r="E6" s="4">
        <f t="shared" ref="E6:E53" si="3">C6+D6+E5</f>
        <v>11</v>
      </c>
      <c r="F6" s="4">
        <v>7</v>
      </c>
      <c r="G6" s="4"/>
      <c r="H6" s="4">
        <f t="shared" ref="H6:H53" si="4">I6-I5</f>
        <v>1.5</v>
      </c>
      <c r="I6" s="4">
        <f t="shared" si="0"/>
        <v>4</v>
      </c>
      <c r="J6" s="4"/>
      <c r="K6" s="4">
        <v>1</v>
      </c>
      <c r="L6" s="4">
        <f t="shared" ref="L6:L53" si="5">L5+K6</f>
        <v>2</v>
      </c>
      <c r="N6" s="37">
        <v>45874</v>
      </c>
      <c r="O6" s="48"/>
      <c r="P6" s="4" t="s">
        <v>123</v>
      </c>
      <c r="Q6" s="4">
        <v>10</v>
      </c>
      <c r="R6" s="4"/>
      <c r="S6" s="4"/>
      <c r="U6" s="16"/>
      <c r="V6" s="4"/>
      <c r="W6" s="4"/>
      <c r="X6" s="4">
        <f t="shared" ref="X6:Y8" si="6">X5+V6</f>
        <v>1349</v>
      </c>
      <c r="Y6" s="4">
        <f t="shared" si="6"/>
        <v>2265.0500000000002</v>
      </c>
      <c r="Z6" s="4">
        <f t="shared" si="1"/>
        <v>1.6790585618977021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N6" s="48"/>
      <c r="AO6" s="4" t="s">
        <v>61</v>
      </c>
      <c r="AP6" s="20">
        <v>12</v>
      </c>
      <c r="AQ6" s="4">
        <v>2</v>
      </c>
      <c r="AR6" s="20">
        <f t="shared" si="2"/>
        <v>24</v>
      </c>
      <c r="AS6" s="4"/>
      <c r="AT6" s="4"/>
    </row>
    <row r="7" spans="1:46" ht="41.25" customHeight="1" x14ac:dyDescent="0.2">
      <c r="A7" s="4">
        <v>4</v>
      </c>
      <c r="B7" s="10">
        <v>45887</v>
      </c>
      <c r="C7" s="4"/>
      <c r="D7" s="4"/>
      <c r="E7" s="4">
        <f t="shared" si="3"/>
        <v>11</v>
      </c>
      <c r="F7" s="4">
        <v>6</v>
      </c>
      <c r="G7" s="4"/>
      <c r="H7" s="4">
        <f t="shared" si="4"/>
        <v>1</v>
      </c>
      <c r="I7" s="4">
        <f t="shared" si="0"/>
        <v>5</v>
      </c>
      <c r="J7" s="4"/>
      <c r="K7" s="4">
        <v>2</v>
      </c>
      <c r="L7" s="4">
        <f t="shared" si="5"/>
        <v>4</v>
      </c>
      <c r="N7" s="37">
        <v>45878</v>
      </c>
      <c r="O7" s="48"/>
      <c r="P7" s="4" t="s">
        <v>123</v>
      </c>
      <c r="Q7" s="4">
        <v>10</v>
      </c>
      <c r="R7" s="4"/>
      <c r="S7" s="4"/>
      <c r="U7" s="16"/>
      <c r="V7" s="4"/>
      <c r="W7" s="4"/>
      <c r="X7" s="4">
        <f t="shared" si="6"/>
        <v>1349</v>
      </c>
      <c r="Y7" s="4">
        <f t="shared" si="6"/>
        <v>2265.0500000000002</v>
      </c>
      <c r="Z7" s="4">
        <f t="shared" si="1"/>
        <v>1.6790585618977021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N7" s="48"/>
      <c r="AO7" s="4" t="s">
        <v>47</v>
      </c>
      <c r="AP7" s="20">
        <v>40</v>
      </c>
      <c r="AQ7" s="4">
        <v>2</v>
      </c>
      <c r="AR7" s="20">
        <f t="shared" si="2"/>
        <v>80</v>
      </c>
      <c r="AS7" s="4"/>
      <c r="AT7" s="4"/>
    </row>
    <row r="8" spans="1:46" ht="41.25" customHeight="1" x14ac:dyDescent="0.2">
      <c r="A8" s="4">
        <v>5</v>
      </c>
      <c r="B8" s="10">
        <v>45888</v>
      </c>
      <c r="C8" s="4">
        <v>15</v>
      </c>
      <c r="D8" s="4"/>
      <c r="E8" s="4">
        <f t="shared" si="3"/>
        <v>26</v>
      </c>
      <c r="F8" s="4">
        <v>19</v>
      </c>
      <c r="G8" s="4"/>
      <c r="H8" s="4">
        <f t="shared" si="4"/>
        <v>2</v>
      </c>
      <c r="I8" s="4">
        <f t="shared" si="0"/>
        <v>7</v>
      </c>
      <c r="J8" s="4"/>
      <c r="K8" s="4"/>
      <c r="L8" s="4">
        <f t="shared" si="5"/>
        <v>4</v>
      </c>
      <c r="N8" s="37">
        <v>45881</v>
      </c>
      <c r="O8" s="48"/>
      <c r="P8" s="4" t="s">
        <v>124</v>
      </c>
      <c r="Q8" s="4">
        <v>10</v>
      </c>
      <c r="R8" s="4"/>
      <c r="S8" s="4"/>
      <c r="U8" s="16"/>
      <c r="V8" s="4"/>
      <c r="W8" s="4"/>
      <c r="X8" s="4">
        <f t="shared" si="6"/>
        <v>1349</v>
      </c>
      <c r="Y8" s="4">
        <f t="shared" si="6"/>
        <v>2265.0500000000002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N8" s="52" t="s">
        <v>106</v>
      </c>
      <c r="AO8" s="21" t="s">
        <v>45</v>
      </c>
      <c r="AP8" s="20">
        <v>55</v>
      </c>
      <c r="AQ8" s="4">
        <v>2</v>
      </c>
      <c r="AR8" s="20">
        <f t="shared" si="2"/>
        <v>110</v>
      </c>
      <c r="AS8" s="4"/>
      <c r="AT8" s="4"/>
    </row>
    <row r="9" spans="1:46" ht="41.25" customHeight="1" x14ac:dyDescent="0.2">
      <c r="A9" s="4">
        <v>6</v>
      </c>
      <c r="B9" s="10">
        <v>45889</v>
      </c>
      <c r="C9" s="4"/>
      <c r="D9" s="4"/>
      <c r="E9" s="4">
        <f t="shared" si="3"/>
        <v>26</v>
      </c>
      <c r="F9" s="4">
        <v>16</v>
      </c>
      <c r="G9" s="4"/>
      <c r="H9" s="4">
        <f t="shared" si="4"/>
        <v>3</v>
      </c>
      <c r="I9" s="4">
        <f t="shared" si="0"/>
        <v>10</v>
      </c>
      <c r="J9" s="4"/>
      <c r="K9" s="4"/>
      <c r="L9" s="4">
        <f t="shared" si="5"/>
        <v>4</v>
      </c>
      <c r="N9" s="37">
        <v>45882</v>
      </c>
      <c r="O9" s="48"/>
      <c r="P9" s="4" t="s">
        <v>124</v>
      </c>
      <c r="Q9" s="4">
        <v>3</v>
      </c>
      <c r="R9" s="4"/>
      <c r="S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N9" s="52"/>
      <c r="AO9" s="21" t="s">
        <v>77</v>
      </c>
      <c r="AP9" s="20">
        <v>40</v>
      </c>
      <c r="AQ9" s="4">
        <v>2</v>
      </c>
      <c r="AR9" s="20">
        <f t="shared" si="2"/>
        <v>80</v>
      </c>
      <c r="AS9" s="4"/>
      <c r="AT9" s="4"/>
    </row>
    <row r="10" spans="1:46" ht="41.25" customHeight="1" x14ac:dyDescent="0.2">
      <c r="A10" s="4">
        <v>7</v>
      </c>
      <c r="B10" s="10">
        <v>45890</v>
      </c>
      <c r="C10" s="4"/>
      <c r="D10" s="4"/>
      <c r="E10" s="4">
        <f t="shared" si="3"/>
        <v>26</v>
      </c>
      <c r="F10" s="4">
        <v>13</v>
      </c>
      <c r="G10" s="4"/>
      <c r="H10" s="4">
        <f t="shared" si="4"/>
        <v>3</v>
      </c>
      <c r="I10" s="4">
        <f t="shared" si="0"/>
        <v>13</v>
      </c>
      <c r="J10" s="4"/>
      <c r="K10" s="4">
        <v>1</v>
      </c>
      <c r="L10" s="4">
        <f t="shared" si="5"/>
        <v>5</v>
      </c>
      <c r="N10" s="37">
        <v>45883</v>
      </c>
      <c r="O10" s="48" t="s">
        <v>131</v>
      </c>
      <c r="P10" s="4" t="s">
        <v>125</v>
      </c>
      <c r="Q10" s="4">
        <v>10</v>
      </c>
      <c r="R10" s="4"/>
      <c r="S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N10" s="52"/>
      <c r="AO10" s="21" t="s">
        <v>58</v>
      </c>
      <c r="AP10" s="20">
        <v>16</v>
      </c>
      <c r="AQ10" s="4">
        <v>2</v>
      </c>
      <c r="AR10" s="20">
        <f t="shared" si="2"/>
        <v>32</v>
      </c>
      <c r="AS10" s="4"/>
      <c r="AT10" s="4"/>
    </row>
    <row r="11" spans="1:46" ht="41.25" customHeight="1" x14ac:dyDescent="0.2">
      <c r="A11" s="4">
        <v>8</v>
      </c>
      <c r="B11" s="10">
        <v>45891</v>
      </c>
      <c r="C11" s="4"/>
      <c r="D11" s="4"/>
      <c r="E11" s="4">
        <f t="shared" si="3"/>
        <v>26</v>
      </c>
      <c r="F11" s="4">
        <v>8</v>
      </c>
      <c r="G11" s="4"/>
      <c r="H11" s="4">
        <f t="shared" si="4"/>
        <v>5</v>
      </c>
      <c r="I11" s="4">
        <f t="shared" si="0"/>
        <v>18</v>
      </c>
      <c r="J11" s="4"/>
      <c r="K11" s="4">
        <v>1</v>
      </c>
      <c r="L11" s="4">
        <f t="shared" si="5"/>
        <v>6</v>
      </c>
      <c r="N11" s="37">
        <v>45884</v>
      </c>
      <c r="O11" s="48"/>
      <c r="P11" s="4" t="s">
        <v>125</v>
      </c>
      <c r="Q11" s="4">
        <v>15</v>
      </c>
      <c r="R11" s="4"/>
      <c r="S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N11" s="52"/>
      <c r="AO11" s="21" t="s">
        <v>47</v>
      </c>
      <c r="AP11" s="20">
        <v>50</v>
      </c>
      <c r="AQ11" s="4">
        <v>2</v>
      </c>
      <c r="AR11" s="20">
        <f t="shared" si="2"/>
        <v>100</v>
      </c>
      <c r="AS11" s="4"/>
      <c r="AT11" s="4"/>
    </row>
    <row r="12" spans="1:46" ht="41.25" customHeight="1" x14ac:dyDescent="0.2">
      <c r="A12" s="4">
        <v>9</v>
      </c>
      <c r="B12" s="10">
        <v>45892</v>
      </c>
      <c r="C12" s="4">
        <v>10</v>
      </c>
      <c r="D12" s="4"/>
      <c r="E12" s="4">
        <f t="shared" si="3"/>
        <v>36</v>
      </c>
      <c r="F12" s="4">
        <v>13</v>
      </c>
      <c r="G12" s="4"/>
      <c r="H12" s="4">
        <f t="shared" si="4"/>
        <v>5</v>
      </c>
      <c r="I12" s="4">
        <f t="shared" si="0"/>
        <v>23</v>
      </c>
      <c r="J12" s="4"/>
      <c r="K12" s="4">
        <v>3</v>
      </c>
      <c r="L12" s="4">
        <f t="shared" si="5"/>
        <v>9</v>
      </c>
      <c r="N12" s="37">
        <v>45886</v>
      </c>
      <c r="O12" s="48"/>
      <c r="P12" s="4" t="s">
        <v>125</v>
      </c>
      <c r="Q12" s="4">
        <v>15</v>
      </c>
      <c r="R12" s="4"/>
      <c r="S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N12" s="52" t="s">
        <v>52</v>
      </c>
      <c r="AO12" s="21" t="s">
        <v>50</v>
      </c>
      <c r="AP12" s="11">
        <v>35</v>
      </c>
      <c r="AQ12" s="4">
        <v>3</v>
      </c>
      <c r="AR12" s="11">
        <f t="shared" si="2"/>
        <v>105</v>
      </c>
      <c r="AS12" s="4"/>
      <c r="AT12" s="4"/>
    </row>
    <row r="13" spans="1:46" ht="41.25" customHeight="1" x14ac:dyDescent="0.2">
      <c r="A13" s="4">
        <v>10</v>
      </c>
      <c r="B13" s="10">
        <v>45893</v>
      </c>
      <c r="C13" s="4"/>
      <c r="D13" s="4"/>
      <c r="E13" s="4">
        <f t="shared" si="3"/>
        <v>36</v>
      </c>
      <c r="F13" s="4">
        <v>9</v>
      </c>
      <c r="G13" s="4"/>
      <c r="H13" s="4">
        <f t="shared" si="4"/>
        <v>4</v>
      </c>
      <c r="I13" s="4">
        <f t="shared" si="0"/>
        <v>27</v>
      </c>
      <c r="J13" s="4"/>
      <c r="K13" s="4">
        <v>3</v>
      </c>
      <c r="L13" s="4">
        <f t="shared" si="5"/>
        <v>12</v>
      </c>
      <c r="N13" s="37">
        <v>45888</v>
      </c>
      <c r="O13" s="48"/>
      <c r="P13" s="4" t="s">
        <v>127</v>
      </c>
      <c r="Q13" s="4">
        <v>15</v>
      </c>
      <c r="R13" s="4"/>
      <c r="S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N13" s="52"/>
      <c r="AO13" s="21" t="s">
        <v>51</v>
      </c>
      <c r="AP13" s="11">
        <v>25</v>
      </c>
      <c r="AQ13" s="4">
        <v>3</v>
      </c>
      <c r="AR13" s="11">
        <f t="shared" si="2"/>
        <v>75</v>
      </c>
      <c r="AS13" s="4"/>
      <c r="AT13" s="4"/>
    </row>
    <row r="14" spans="1:46" ht="41.25" customHeight="1" x14ac:dyDescent="0.2">
      <c r="A14" s="4">
        <v>11</v>
      </c>
      <c r="B14" s="10">
        <v>45894</v>
      </c>
      <c r="C14" s="4">
        <v>14</v>
      </c>
      <c r="D14" s="4"/>
      <c r="E14" s="4">
        <f t="shared" si="3"/>
        <v>50</v>
      </c>
      <c r="F14" s="4">
        <v>18</v>
      </c>
      <c r="G14" s="4"/>
      <c r="H14" s="4">
        <f t="shared" si="4"/>
        <v>5</v>
      </c>
      <c r="I14" s="4">
        <f t="shared" si="0"/>
        <v>32</v>
      </c>
      <c r="J14" s="4"/>
      <c r="K14" s="4">
        <v>4</v>
      </c>
      <c r="L14" s="4">
        <f t="shared" si="5"/>
        <v>16</v>
      </c>
      <c r="N14" s="54">
        <v>45890</v>
      </c>
      <c r="O14" s="48"/>
      <c r="P14" s="4" t="s">
        <v>125</v>
      </c>
      <c r="Q14" s="4">
        <v>10</v>
      </c>
      <c r="R14" s="4"/>
      <c r="S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N14" s="52"/>
      <c r="AO14" s="21" t="s">
        <v>67</v>
      </c>
      <c r="AP14" s="21">
        <v>1</v>
      </c>
      <c r="AQ14" s="4">
        <v>3</v>
      </c>
      <c r="AR14" s="21">
        <f>AP14*AQ14</f>
        <v>3</v>
      </c>
      <c r="AS14" s="4"/>
      <c r="AT14" s="4"/>
    </row>
    <row r="15" spans="1:46" ht="41.25" customHeight="1" x14ac:dyDescent="0.2">
      <c r="A15" s="4">
        <v>12</v>
      </c>
      <c r="B15" s="10">
        <v>45895</v>
      </c>
      <c r="C15" s="4"/>
      <c r="D15" s="4"/>
      <c r="E15" s="4">
        <f t="shared" si="3"/>
        <v>50</v>
      </c>
      <c r="F15" s="4">
        <v>13</v>
      </c>
      <c r="G15" s="4"/>
      <c r="H15" s="4">
        <f t="shared" si="4"/>
        <v>5</v>
      </c>
      <c r="I15" s="4">
        <f t="shared" si="0"/>
        <v>37</v>
      </c>
      <c r="J15" s="4"/>
      <c r="K15" s="4">
        <v>20</v>
      </c>
      <c r="L15" s="4">
        <f t="shared" si="5"/>
        <v>36</v>
      </c>
      <c r="N15" s="54"/>
      <c r="O15" s="48"/>
      <c r="P15" s="4" t="s">
        <v>128</v>
      </c>
      <c r="Q15" s="4">
        <v>5</v>
      </c>
      <c r="R15" s="4"/>
      <c r="S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N15" s="52"/>
      <c r="AO15" s="21" t="s">
        <v>48</v>
      </c>
      <c r="AP15" s="11">
        <v>40</v>
      </c>
      <c r="AQ15" s="4">
        <v>3</v>
      </c>
      <c r="AR15" s="11">
        <f>AP15*AQ15</f>
        <v>120</v>
      </c>
      <c r="AS15" s="4"/>
      <c r="AT15" s="4"/>
    </row>
    <row r="16" spans="1:46" ht="41.25" customHeight="1" x14ac:dyDescent="0.2">
      <c r="A16" s="4">
        <v>13</v>
      </c>
      <c r="B16" s="10">
        <v>45896</v>
      </c>
      <c r="C16" s="4"/>
      <c r="D16" s="4"/>
      <c r="E16" s="4">
        <f t="shared" si="3"/>
        <v>50</v>
      </c>
      <c r="F16" s="4">
        <v>8</v>
      </c>
      <c r="G16" s="4"/>
      <c r="H16" s="4">
        <f t="shared" si="4"/>
        <v>5</v>
      </c>
      <c r="I16" s="4">
        <f t="shared" si="0"/>
        <v>42</v>
      </c>
      <c r="J16" s="4"/>
      <c r="K16" s="4">
        <v>9</v>
      </c>
      <c r="L16" s="4">
        <f t="shared" si="5"/>
        <v>45</v>
      </c>
      <c r="N16" s="37">
        <v>45892</v>
      </c>
      <c r="O16" s="48"/>
      <c r="P16" s="4" t="s">
        <v>129</v>
      </c>
      <c r="Q16" s="4">
        <v>15</v>
      </c>
      <c r="R16" s="4"/>
      <c r="S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N16" s="53">
        <v>10</v>
      </c>
      <c r="AO16" s="21" t="s">
        <v>84</v>
      </c>
      <c r="AP16" s="20">
        <v>200</v>
      </c>
      <c r="AQ16" s="4">
        <v>1</v>
      </c>
      <c r="AR16" s="20">
        <f>AP16*AQ16</f>
        <v>200</v>
      </c>
      <c r="AS16" s="4"/>
      <c r="AT16" s="4"/>
    </row>
    <row r="17" spans="1:46" ht="41.25" customHeight="1" x14ac:dyDescent="0.2">
      <c r="A17" s="4">
        <v>14</v>
      </c>
      <c r="B17" s="10">
        <v>45897</v>
      </c>
      <c r="C17" s="4">
        <v>10</v>
      </c>
      <c r="D17" s="4"/>
      <c r="E17" s="4">
        <f t="shared" si="3"/>
        <v>60</v>
      </c>
      <c r="F17" s="4">
        <v>13</v>
      </c>
      <c r="G17" s="4"/>
      <c r="H17" s="4">
        <f t="shared" si="4"/>
        <v>5</v>
      </c>
      <c r="I17" s="4">
        <f t="shared" si="0"/>
        <v>47</v>
      </c>
      <c r="J17" s="4"/>
      <c r="K17" s="4">
        <v>13</v>
      </c>
      <c r="L17" s="4">
        <f t="shared" si="5"/>
        <v>58</v>
      </c>
      <c r="N17" s="37">
        <v>45893</v>
      </c>
      <c r="O17" s="48"/>
      <c r="P17" s="4" t="s">
        <v>130</v>
      </c>
      <c r="Q17" s="4">
        <v>20</v>
      </c>
      <c r="R17" s="4"/>
      <c r="S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N17" s="53"/>
      <c r="AO17" s="21" t="s">
        <v>85</v>
      </c>
      <c r="AP17" s="25">
        <v>1</v>
      </c>
      <c r="AQ17" s="4">
        <v>1</v>
      </c>
      <c r="AR17" s="25">
        <f>AP17*AQ17</f>
        <v>1</v>
      </c>
      <c r="AS17" s="4"/>
      <c r="AT17" s="4"/>
    </row>
    <row r="18" spans="1:46" ht="41.25" customHeight="1" x14ac:dyDescent="0.2">
      <c r="A18" s="4">
        <v>15</v>
      </c>
      <c r="B18" s="10">
        <v>45898</v>
      </c>
      <c r="C18" s="4">
        <v>10</v>
      </c>
      <c r="D18" s="4"/>
      <c r="E18" s="4">
        <f t="shared" si="3"/>
        <v>70</v>
      </c>
      <c r="F18" s="4">
        <v>17</v>
      </c>
      <c r="G18" s="4"/>
      <c r="H18" s="4">
        <f t="shared" si="4"/>
        <v>6</v>
      </c>
      <c r="I18" s="4">
        <f t="shared" si="0"/>
        <v>53</v>
      </c>
      <c r="J18" s="4"/>
      <c r="K18" s="4">
        <v>8</v>
      </c>
      <c r="L18" s="4">
        <f t="shared" si="5"/>
        <v>66</v>
      </c>
      <c r="N18" s="37">
        <v>45895</v>
      </c>
      <c r="O18" s="48"/>
      <c r="P18" s="4" t="s">
        <v>125</v>
      </c>
      <c r="Q18" s="4">
        <v>10</v>
      </c>
      <c r="R18" s="4"/>
      <c r="S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N18" s="53"/>
      <c r="AO18" s="21" t="s">
        <v>67</v>
      </c>
      <c r="AP18" s="21">
        <v>2</v>
      </c>
      <c r="AQ18" s="4">
        <v>1</v>
      </c>
      <c r="AR18" s="21">
        <f t="shared" ref="AR18:AR25" si="7">AP18*AQ18</f>
        <v>2</v>
      </c>
      <c r="AS18" s="4"/>
      <c r="AT18" s="4"/>
    </row>
    <row r="19" spans="1:46" ht="41.25" customHeight="1" x14ac:dyDescent="0.2">
      <c r="A19" s="4">
        <v>16</v>
      </c>
      <c r="B19" s="10">
        <v>45899</v>
      </c>
      <c r="C19" s="4"/>
      <c r="D19" s="4"/>
      <c r="E19" s="4">
        <f t="shared" si="3"/>
        <v>70</v>
      </c>
      <c r="F19" s="4">
        <v>10.5</v>
      </c>
      <c r="G19" s="4"/>
      <c r="H19" s="4">
        <f t="shared" si="4"/>
        <v>6.5</v>
      </c>
      <c r="I19" s="4">
        <f t="shared" si="0"/>
        <v>59.5</v>
      </c>
      <c r="J19" s="4"/>
      <c r="K19" s="4">
        <v>4</v>
      </c>
      <c r="L19" s="4">
        <f t="shared" si="5"/>
        <v>70</v>
      </c>
      <c r="N19" s="37">
        <v>45896</v>
      </c>
      <c r="O19" s="48"/>
      <c r="P19" s="4" t="s">
        <v>125</v>
      </c>
      <c r="Q19" s="4">
        <v>10</v>
      </c>
      <c r="R19" s="4"/>
      <c r="S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N19" s="53"/>
      <c r="AO19" s="21" t="s">
        <v>48</v>
      </c>
      <c r="AP19" s="11">
        <v>100</v>
      </c>
      <c r="AQ19" s="4">
        <v>1</v>
      </c>
      <c r="AR19" s="11">
        <f t="shared" si="7"/>
        <v>100</v>
      </c>
      <c r="AS19" s="4"/>
      <c r="AT19" s="4"/>
    </row>
    <row r="20" spans="1:46" ht="41.25" customHeight="1" x14ac:dyDescent="0.2">
      <c r="A20" s="4">
        <v>17</v>
      </c>
      <c r="B20" s="10">
        <v>45900</v>
      </c>
      <c r="C20" s="4">
        <v>10</v>
      </c>
      <c r="D20" s="4"/>
      <c r="E20" s="4">
        <f t="shared" si="3"/>
        <v>80</v>
      </c>
      <c r="F20" s="4">
        <v>15</v>
      </c>
      <c r="G20" s="4"/>
      <c r="H20" s="4">
        <f t="shared" si="4"/>
        <v>5.5</v>
      </c>
      <c r="I20" s="4">
        <f t="shared" si="0"/>
        <v>65</v>
      </c>
      <c r="J20" s="4"/>
      <c r="K20" s="4">
        <v>2</v>
      </c>
      <c r="L20" s="4">
        <f>L19+K20</f>
        <v>72</v>
      </c>
      <c r="N20" s="37">
        <v>45897</v>
      </c>
      <c r="O20" s="48" t="s">
        <v>134</v>
      </c>
      <c r="P20" s="4" t="s">
        <v>126</v>
      </c>
      <c r="Q20" s="4">
        <v>15</v>
      </c>
      <c r="R20" s="4"/>
      <c r="S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N20" s="48">
        <v>11</v>
      </c>
      <c r="AO20" s="4" t="s">
        <v>84</v>
      </c>
      <c r="AP20" s="20">
        <v>200</v>
      </c>
      <c r="AQ20" s="4">
        <v>1</v>
      </c>
      <c r="AR20" s="20">
        <f t="shared" si="7"/>
        <v>200</v>
      </c>
      <c r="AS20" s="4"/>
      <c r="AT20" s="4"/>
    </row>
    <row r="21" spans="1:46" ht="41.25" customHeight="1" x14ac:dyDescent="0.2">
      <c r="A21" s="4">
        <v>18</v>
      </c>
      <c r="B21" s="10">
        <v>45901</v>
      </c>
      <c r="C21" s="4">
        <v>15</v>
      </c>
      <c r="D21" s="4"/>
      <c r="E21" s="4">
        <f t="shared" si="3"/>
        <v>95</v>
      </c>
      <c r="F21" s="4">
        <v>23</v>
      </c>
      <c r="G21" s="4"/>
      <c r="H21" s="4">
        <f t="shared" si="4"/>
        <v>7</v>
      </c>
      <c r="I21" s="4">
        <f t="shared" si="0"/>
        <v>72</v>
      </c>
      <c r="J21" s="4"/>
      <c r="K21" s="4">
        <v>1</v>
      </c>
      <c r="L21" s="4">
        <f>L20+K21</f>
        <v>73</v>
      </c>
      <c r="N21" s="54">
        <v>45898</v>
      </c>
      <c r="O21" s="48"/>
      <c r="P21" s="4" t="s">
        <v>132</v>
      </c>
      <c r="Q21" s="4">
        <v>10</v>
      </c>
      <c r="R21" s="4"/>
      <c r="S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N21" s="48"/>
      <c r="AO21" s="4" t="s">
        <v>85</v>
      </c>
      <c r="AP21" s="4">
        <v>1</v>
      </c>
      <c r="AQ21" s="4">
        <v>1</v>
      </c>
      <c r="AR21" s="4">
        <f t="shared" si="7"/>
        <v>1</v>
      </c>
      <c r="AS21" s="4"/>
      <c r="AT21" s="4"/>
    </row>
    <row r="22" spans="1:46" ht="41.25" customHeight="1" x14ac:dyDescent="0.2">
      <c r="A22" s="4">
        <v>19</v>
      </c>
      <c r="B22" s="10">
        <v>45902</v>
      </c>
      <c r="C22" s="4"/>
      <c r="D22" s="4"/>
      <c r="E22" s="4">
        <f t="shared" si="3"/>
        <v>95</v>
      </c>
      <c r="F22" s="4">
        <v>16</v>
      </c>
      <c r="G22" s="4"/>
      <c r="H22" s="4">
        <f t="shared" si="4"/>
        <v>7</v>
      </c>
      <c r="I22" s="4">
        <f t="shared" si="0"/>
        <v>79</v>
      </c>
      <c r="J22" s="4"/>
      <c r="K22" s="4">
        <v>1</v>
      </c>
      <c r="L22" s="4">
        <f t="shared" si="5"/>
        <v>74</v>
      </c>
      <c r="N22" s="54"/>
      <c r="O22" s="48"/>
      <c r="P22" s="4" t="s">
        <v>128</v>
      </c>
      <c r="Q22" s="4">
        <v>5</v>
      </c>
      <c r="R22" s="4"/>
      <c r="S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N22" s="48"/>
      <c r="AO22" s="4" t="s">
        <v>62</v>
      </c>
      <c r="AP22" s="4">
        <v>4</v>
      </c>
      <c r="AQ22" s="4">
        <v>1</v>
      </c>
      <c r="AR22" s="4">
        <f t="shared" si="7"/>
        <v>4</v>
      </c>
      <c r="AS22" s="4"/>
      <c r="AT22" s="4"/>
    </row>
    <row r="23" spans="1:46" ht="41.25" customHeight="1" x14ac:dyDescent="0.2">
      <c r="A23" s="4">
        <v>20</v>
      </c>
      <c r="B23" s="10">
        <v>45903</v>
      </c>
      <c r="C23" s="4">
        <v>10</v>
      </c>
      <c r="D23" s="4"/>
      <c r="E23" s="4">
        <f t="shared" si="3"/>
        <v>105</v>
      </c>
      <c r="F23" s="4">
        <v>18</v>
      </c>
      <c r="G23" s="4"/>
      <c r="H23" s="4">
        <f t="shared" si="4"/>
        <v>8</v>
      </c>
      <c r="I23" s="4">
        <f t="shared" si="0"/>
        <v>87</v>
      </c>
      <c r="J23" s="4"/>
      <c r="K23" s="4">
        <v>2</v>
      </c>
      <c r="L23" s="4">
        <f t="shared" si="5"/>
        <v>76</v>
      </c>
      <c r="N23" s="54">
        <v>45899</v>
      </c>
      <c r="O23" s="48"/>
      <c r="P23" s="4" t="s">
        <v>126</v>
      </c>
      <c r="Q23" s="4">
        <v>10</v>
      </c>
      <c r="R23" s="4"/>
      <c r="S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N23" s="48"/>
      <c r="AO23" s="4" t="s">
        <v>63</v>
      </c>
      <c r="AP23" s="11">
        <v>150</v>
      </c>
      <c r="AQ23" s="4">
        <v>1</v>
      </c>
      <c r="AR23" s="11">
        <f t="shared" si="7"/>
        <v>150</v>
      </c>
      <c r="AS23" s="4"/>
      <c r="AT23" s="4"/>
    </row>
    <row r="24" spans="1:46" ht="41.25" customHeight="1" x14ac:dyDescent="0.2">
      <c r="A24" s="4">
        <v>21</v>
      </c>
      <c r="B24" s="10">
        <v>45904</v>
      </c>
      <c r="C24" s="4">
        <v>10</v>
      </c>
      <c r="D24" s="4"/>
      <c r="E24" s="4">
        <f t="shared" si="3"/>
        <v>115</v>
      </c>
      <c r="F24" s="4">
        <v>20</v>
      </c>
      <c r="G24" s="4"/>
      <c r="H24" s="4">
        <f t="shared" si="4"/>
        <v>8</v>
      </c>
      <c r="I24" s="4">
        <f t="shared" si="0"/>
        <v>95</v>
      </c>
      <c r="J24" s="4"/>
      <c r="K24" s="4">
        <v>3</v>
      </c>
      <c r="L24" s="4">
        <f t="shared" si="5"/>
        <v>79</v>
      </c>
      <c r="N24" s="54"/>
      <c r="O24" s="48"/>
      <c r="P24" s="4" t="s">
        <v>128</v>
      </c>
      <c r="Q24" s="4">
        <v>5</v>
      </c>
      <c r="R24" s="4"/>
      <c r="S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N24" s="48">
        <v>12</v>
      </c>
      <c r="AO24" s="4" t="s">
        <v>84</v>
      </c>
      <c r="AP24" s="20">
        <v>225</v>
      </c>
      <c r="AQ24" s="4">
        <v>1</v>
      </c>
      <c r="AR24" s="20">
        <f t="shared" si="7"/>
        <v>225</v>
      </c>
      <c r="AS24" s="4"/>
      <c r="AT24" s="4"/>
    </row>
    <row r="25" spans="1:46" ht="41.25" customHeight="1" x14ac:dyDescent="0.2">
      <c r="A25" s="4">
        <v>22</v>
      </c>
      <c r="B25" s="10">
        <v>45905</v>
      </c>
      <c r="C25" s="4">
        <v>10</v>
      </c>
      <c r="D25" s="4"/>
      <c r="E25" s="4">
        <f t="shared" si="3"/>
        <v>125</v>
      </c>
      <c r="F25" s="4">
        <v>22</v>
      </c>
      <c r="G25" s="4"/>
      <c r="H25" s="4">
        <f t="shared" si="4"/>
        <v>8</v>
      </c>
      <c r="I25" s="4">
        <f t="shared" si="0"/>
        <v>103</v>
      </c>
      <c r="J25" s="4"/>
      <c r="K25" s="4">
        <v>1</v>
      </c>
      <c r="L25" s="4">
        <f t="shared" si="5"/>
        <v>80</v>
      </c>
      <c r="N25" s="37">
        <v>45901</v>
      </c>
      <c r="O25" s="48"/>
      <c r="P25" s="4" t="s">
        <v>132</v>
      </c>
      <c r="Q25" s="4">
        <v>20</v>
      </c>
      <c r="R25" s="4"/>
      <c r="S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N25" s="48"/>
      <c r="AO25" s="4" t="s">
        <v>85</v>
      </c>
      <c r="AP25" s="4">
        <v>1</v>
      </c>
      <c r="AQ25" s="4">
        <v>1</v>
      </c>
      <c r="AR25" s="4">
        <f t="shared" si="7"/>
        <v>1</v>
      </c>
      <c r="AS25" s="4"/>
      <c r="AT25" s="4"/>
    </row>
    <row r="26" spans="1:46" ht="41.25" customHeight="1" x14ac:dyDescent="0.2">
      <c r="A26" s="4">
        <v>23</v>
      </c>
      <c r="B26" s="10">
        <v>45906</v>
      </c>
      <c r="C26" s="4"/>
      <c r="D26" s="4"/>
      <c r="E26" s="4">
        <f t="shared" si="3"/>
        <v>125</v>
      </c>
      <c r="F26" s="4">
        <v>13</v>
      </c>
      <c r="G26" s="4"/>
      <c r="H26" s="4">
        <f t="shared" si="4"/>
        <v>9</v>
      </c>
      <c r="I26" s="4">
        <f t="shared" si="0"/>
        <v>112</v>
      </c>
      <c r="J26" s="4"/>
      <c r="K26" s="4">
        <v>5</v>
      </c>
      <c r="L26" s="4">
        <f t="shared" si="5"/>
        <v>85</v>
      </c>
      <c r="N26" s="54">
        <v>45903</v>
      </c>
      <c r="O26" s="48"/>
      <c r="P26" s="38" t="s">
        <v>133</v>
      </c>
      <c r="Q26" s="4">
        <v>15</v>
      </c>
      <c r="R26" s="4"/>
      <c r="S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N26" s="48"/>
      <c r="AO26" s="4" t="s">
        <v>67</v>
      </c>
      <c r="AP26" s="21">
        <v>2</v>
      </c>
      <c r="AQ26" s="4">
        <v>1</v>
      </c>
      <c r="AR26" s="21">
        <f t="shared" ref="AR26:AR42" si="8">AP26*AQ26</f>
        <v>2</v>
      </c>
      <c r="AS26" s="4"/>
      <c r="AT26" s="4"/>
    </row>
    <row r="27" spans="1:46" ht="41.25" customHeight="1" x14ac:dyDescent="0.2">
      <c r="A27" s="4">
        <v>24</v>
      </c>
      <c r="B27" s="10">
        <v>45907</v>
      </c>
      <c r="C27" s="4">
        <v>10</v>
      </c>
      <c r="D27" s="4">
        <v>4</v>
      </c>
      <c r="E27" s="4">
        <f t="shared" si="3"/>
        <v>139</v>
      </c>
      <c r="F27" s="4">
        <v>13</v>
      </c>
      <c r="G27" s="4">
        <v>4</v>
      </c>
      <c r="H27" s="4">
        <f t="shared" si="4"/>
        <v>10</v>
      </c>
      <c r="I27" s="4">
        <f t="shared" si="0"/>
        <v>122</v>
      </c>
      <c r="J27" s="4"/>
      <c r="K27" s="4">
        <v>2</v>
      </c>
      <c r="L27" s="4">
        <f t="shared" si="5"/>
        <v>87</v>
      </c>
      <c r="N27" s="54"/>
      <c r="O27" s="48"/>
      <c r="P27" s="4" t="s">
        <v>132</v>
      </c>
      <c r="Q27" s="4">
        <v>10</v>
      </c>
      <c r="R27" s="4"/>
      <c r="S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N27" s="48"/>
      <c r="AO27" s="4" t="s">
        <v>48</v>
      </c>
      <c r="AP27" s="11">
        <v>120</v>
      </c>
      <c r="AQ27" s="4">
        <v>1</v>
      </c>
      <c r="AR27" s="11">
        <f t="shared" si="8"/>
        <v>120</v>
      </c>
      <c r="AS27" s="4"/>
      <c r="AT27" s="4"/>
    </row>
    <row r="28" spans="1:46" ht="41.25" customHeight="1" x14ac:dyDescent="0.2">
      <c r="A28" s="4">
        <v>25</v>
      </c>
      <c r="B28" s="10">
        <v>45908</v>
      </c>
      <c r="C28" s="4">
        <v>10</v>
      </c>
      <c r="D28" s="4"/>
      <c r="E28" s="4">
        <f t="shared" si="3"/>
        <v>149</v>
      </c>
      <c r="F28" s="4">
        <v>17</v>
      </c>
      <c r="G28" s="4"/>
      <c r="H28" s="4">
        <f t="shared" si="4"/>
        <v>10</v>
      </c>
      <c r="I28" s="4">
        <f t="shared" si="0"/>
        <v>132</v>
      </c>
      <c r="J28" s="4"/>
      <c r="K28" s="4">
        <v>6</v>
      </c>
      <c r="L28" s="4">
        <f t="shared" si="5"/>
        <v>93</v>
      </c>
      <c r="N28" s="37">
        <v>45905</v>
      </c>
      <c r="O28" s="48"/>
      <c r="P28" s="4" t="s">
        <v>126</v>
      </c>
      <c r="Q28" s="4">
        <v>25</v>
      </c>
      <c r="R28" s="4"/>
      <c r="S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N28" s="48" t="s">
        <v>59</v>
      </c>
      <c r="AO28" s="4" t="s">
        <v>47</v>
      </c>
      <c r="AP28" s="20">
        <v>200</v>
      </c>
      <c r="AQ28" s="4">
        <v>3</v>
      </c>
      <c r="AR28" s="20">
        <f t="shared" si="8"/>
        <v>600</v>
      </c>
      <c r="AS28" s="4"/>
      <c r="AT28" s="4"/>
    </row>
    <row r="29" spans="1:46" ht="41.25" customHeight="1" x14ac:dyDescent="0.2">
      <c r="A29" s="4">
        <v>26</v>
      </c>
      <c r="B29" s="10">
        <v>45909</v>
      </c>
      <c r="C29" s="4">
        <v>15</v>
      </c>
      <c r="D29" s="4"/>
      <c r="E29" s="4">
        <f t="shared" si="3"/>
        <v>164</v>
      </c>
      <c r="F29" s="4">
        <v>22</v>
      </c>
      <c r="G29" s="4"/>
      <c r="H29" s="4">
        <f t="shared" si="4"/>
        <v>10</v>
      </c>
      <c r="I29" s="4">
        <f t="shared" si="0"/>
        <v>142</v>
      </c>
      <c r="J29" s="4"/>
      <c r="K29" s="4">
        <v>4</v>
      </c>
      <c r="L29" s="4">
        <f t="shared" si="5"/>
        <v>97</v>
      </c>
      <c r="N29" s="37">
        <v>45906</v>
      </c>
      <c r="O29" s="48"/>
      <c r="P29" s="4" t="s">
        <v>132</v>
      </c>
      <c r="Q29" s="4">
        <v>20</v>
      </c>
      <c r="R29" s="4"/>
      <c r="S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N29" s="48"/>
      <c r="AO29" s="4" t="s">
        <v>67</v>
      </c>
      <c r="AP29" s="21">
        <v>2</v>
      </c>
      <c r="AQ29" s="4">
        <v>3</v>
      </c>
      <c r="AR29" s="21">
        <f t="shared" si="8"/>
        <v>6</v>
      </c>
      <c r="AS29" s="4"/>
      <c r="AT29" s="4"/>
    </row>
    <row r="30" spans="1:46" ht="41.25" customHeight="1" x14ac:dyDescent="0.2">
      <c r="A30" s="4">
        <v>27</v>
      </c>
      <c r="B30" s="10">
        <v>45910</v>
      </c>
      <c r="C30" s="4">
        <v>10</v>
      </c>
      <c r="D30" s="4">
        <v>5</v>
      </c>
      <c r="E30" s="4">
        <f t="shared" si="3"/>
        <v>179</v>
      </c>
      <c r="F30" s="4">
        <v>23</v>
      </c>
      <c r="G30" s="4">
        <v>5</v>
      </c>
      <c r="H30" s="4">
        <f t="shared" si="4"/>
        <v>9</v>
      </c>
      <c r="I30" s="4">
        <f t="shared" si="0"/>
        <v>151</v>
      </c>
      <c r="J30" s="4"/>
      <c r="K30" s="4">
        <v>1</v>
      </c>
      <c r="L30" s="4">
        <f t="shared" si="5"/>
        <v>98</v>
      </c>
      <c r="N30" s="37">
        <v>45908</v>
      </c>
      <c r="O30" s="48"/>
      <c r="P30" s="4" t="s">
        <v>126</v>
      </c>
      <c r="Q30" s="4">
        <v>10</v>
      </c>
      <c r="R30" s="4"/>
      <c r="S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N30" s="48"/>
      <c r="AO30" s="11" t="s">
        <v>48</v>
      </c>
      <c r="AP30" s="11">
        <v>125</v>
      </c>
      <c r="AQ30" s="4">
        <v>3</v>
      </c>
      <c r="AR30" s="11">
        <f t="shared" si="8"/>
        <v>375</v>
      </c>
      <c r="AS30" s="4"/>
      <c r="AT30" s="4"/>
    </row>
    <row r="31" spans="1:46" ht="41.25" customHeight="1" x14ac:dyDescent="0.2">
      <c r="A31" s="4">
        <v>28</v>
      </c>
      <c r="B31" s="10">
        <v>45911</v>
      </c>
      <c r="C31" s="4"/>
      <c r="D31" s="4"/>
      <c r="E31" s="4">
        <f t="shared" si="3"/>
        <v>179</v>
      </c>
      <c r="F31" s="4">
        <v>15</v>
      </c>
      <c r="G31" s="4">
        <v>3</v>
      </c>
      <c r="H31" s="4">
        <f t="shared" si="4"/>
        <v>10</v>
      </c>
      <c r="I31" s="4">
        <f t="shared" si="0"/>
        <v>161</v>
      </c>
      <c r="J31" s="4"/>
      <c r="K31" s="4">
        <v>4</v>
      </c>
      <c r="L31" s="4">
        <f t="shared" si="5"/>
        <v>102</v>
      </c>
      <c r="N31" s="37">
        <v>45909</v>
      </c>
      <c r="O31" s="48"/>
      <c r="P31" s="4" t="s">
        <v>135</v>
      </c>
      <c r="Q31" s="4">
        <v>7</v>
      </c>
      <c r="R31" s="4"/>
      <c r="S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N31" s="36" t="s">
        <v>140</v>
      </c>
      <c r="AO31" s="4" t="s">
        <v>136</v>
      </c>
      <c r="AP31" s="20">
        <v>240</v>
      </c>
      <c r="AQ31" s="4">
        <v>3</v>
      </c>
      <c r="AR31" s="20">
        <f t="shared" si="8"/>
        <v>720</v>
      </c>
      <c r="AS31" s="4"/>
      <c r="AT31" s="4"/>
    </row>
    <row r="32" spans="1:46" ht="41.25" customHeight="1" x14ac:dyDescent="0.2">
      <c r="A32" s="4">
        <v>29</v>
      </c>
      <c r="B32" s="10">
        <v>45912</v>
      </c>
      <c r="C32" s="4">
        <v>15</v>
      </c>
      <c r="D32" s="4"/>
      <c r="E32" s="4">
        <f t="shared" si="3"/>
        <v>194</v>
      </c>
      <c r="F32" s="4">
        <v>21</v>
      </c>
      <c r="G32" s="4">
        <v>1</v>
      </c>
      <c r="H32" s="4">
        <f t="shared" si="4"/>
        <v>11</v>
      </c>
      <c r="I32" s="4">
        <f t="shared" si="0"/>
        <v>172</v>
      </c>
      <c r="J32" s="4"/>
      <c r="K32" s="4">
        <v>2</v>
      </c>
      <c r="L32" s="4">
        <f t="shared" si="5"/>
        <v>104</v>
      </c>
      <c r="N32" s="37"/>
      <c r="O32" s="4"/>
      <c r="P32" s="4"/>
      <c r="Q32" s="4">
        <f>SUM(Q4:Q31)</f>
        <v>320</v>
      </c>
      <c r="R32" s="4"/>
      <c r="S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N32" s="48">
        <v>19</v>
      </c>
      <c r="AO32" s="4" t="s">
        <v>84</v>
      </c>
      <c r="AP32" s="20">
        <v>250</v>
      </c>
      <c r="AQ32" s="4">
        <v>1</v>
      </c>
      <c r="AR32" s="20">
        <f t="shared" si="8"/>
        <v>250</v>
      </c>
      <c r="AS32" s="4"/>
      <c r="AT32" s="4"/>
    </row>
    <row r="33" spans="1:46" ht="41.25" customHeight="1" x14ac:dyDescent="0.2">
      <c r="A33" s="4">
        <v>30</v>
      </c>
      <c r="B33" s="10">
        <v>45913</v>
      </c>
      <c r="C33" s="4">
        <v>20</v>
      </c>
      <c r="D33" s="4"/>
      <c r="E33" s="4">
        <f t="shared" si="3"/>
        <v>214</v>
      </c>
      <c r="F33" s="4">
        <v>31</v>
      </c>
      <c r="G33" s="4"/>
      <c r="H33" s="4">
        <f t="shared" si="4"/>
        <v>11</v>
      </c>
      <c r="I33" s="4">
        <f t="shared" si="0"/>
        <v>183</v>
      </c>
      <c r="J33" s="4"/>
      <c r="K33" s="4">
        <v>4</v>
      </c>
      <c r="L33" s="4">
        <f t="shared" si="5"/>
        <v>108</v>
      </c>
      <c r="N33" s="37"/>
      <c r="O33" s="4"/>
      <c r="P33" s="4"/>
      <c r="Q33" s="4"/>
      <c r="R33" s="4"/>
      <c r="S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N33" s="48"/>
      <c r="AO33" s="4" t="s">
        <v>85</v>
      </c>
      <c r="AP33" s="25">
        <v>2</v>
      </c>
      <c r="AQ33" s="4">
        <v>1</v>
      </c>
      <c r="AR33" s="25">
        <f t="shared" si="8"/>
        <v>2</v>
      </c>
      <c r="AS33" s="4"/>
      <c r="AT33" s="4"/>
    </row>
    <row r="34" spans="1:46" ht="41.25" customHeight="1" x14ac:dyDescent="0.2">
      <c r="A34" s="4">
        <v>31</v>
      </c>
      <c r="B34" s="10">
        <v>45914</v>
      </c>
      <c r="C34" s="4"/>
      <c r="D34" s="4"/>
      <c r="E34" s="4">
        <f t="shared" si="3"/>
        <v>214</v>
      </c>
      <c r="F34" s="4">
        <v>19</v>
      </c>
      <c r="G34" s="4"/>
      <c r="H34" s="4">
        <f t="shared" si="4"/>
        <v>12</v>
      </c>
      <c r="I34" s="4">
        <f t="shared" si="0"/>
        <v>195</v>
      </c>
      <c r="J34" s="4"/>
      <c r="K34" s="4">
        <v>2</v>
      </c>
      <c r="L34" s="4">
        <f t="shared" si="5"/>
        <v>110</v>
      </c>
      <c r="N34" s="37"/>
      <c r="O34" s="4"/>
      <c r="P34" s="4"/>
      <c r="Q34" s="4"/>
      <c r="R34" s="4"/>
      <c r="S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N34" s="48"/>
      <c r="AO34" s="4" t="s">
        <v>69</v>
      </c>
      <c r="AP34" s="4">
        <v>4</v>
      </c>
      <c r="AQ34" s="4">
        <v>1</v>
      </c>
      <c r="AR34" s="4">
        <f t="shared" si="8"/>
        <v>4</v>
      </c>
      <c r="AS34" s="4"/>
      <c r="AT34" s="4"/>
    </row>
    <row r="35" spans="1:46" ht="41.25" customHeight="1" x14ac:dyDescent="0.2">
      <c r="A35" s="4">
        <v>32</v>
      </c>
      <c r="B35" s="10">
        <v>45915</v>
      </c>
      <c r="C35" s="4">
        <v>10</v>
      </c>
      <c r="D35" s="4"/>
      <c r="E35" s="4">
        <f t="shared" si="3"/>
        <v>224</v>
      </c>
      <c r="F35" s="4">
        <v>17</v>
      </c>
      <c r="G35" s="4"/>
      <c r="H35" s="4">
        <f t="shared" si="4"/>
        <v>12</v>
      </c>
      <c r="I35" s="4">
        <f t="shared" si="0"/>
        <v>207</v>
      </c>
      <c r="J35" s="4"/>
      <c r="K35" s="4">
        <v>5</v>
      </c>
      <c r="L35" s="4">
        <f t="shared" si="5"/>
        <v>115</v>
      </c>
      <c r="N35" s="37"/>
      <c r="O35" s="4"/>
      <c r="P35" s="4"/>
      <c r="Q35" s="4"/>
      <c r="R35" s="4"/>
      <c r="S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N35" s="48"/>
      <c r="AO35" s="4" t="s">
        <v>63</v>
      </c>
      <c r="AP35" s="11">
        <v>280</v>
      </c>
      <c r="AQ35" s="4">
        <v>1</v>
      </c>
      <c r="AR35" s="11">
        <f t="shared" si="8"/>
        <v>280</v>
      </c>
      <c r="AS35" s="4"/>
      <c r="AT35" s="4"/>
    </row>
    <row r="36" spans="1:46" ht="41.25" customHeight="1" x14ac:dyDescent="0.2">
      <c r="A36" s="4">
        <v>33</v>
      </c>
      <c r="B36" s="10">
        <v>45916</v>
      </c>
      <c r="C36" s="4">
        <v>17</v>
      </c>
      <c r="D36" s="4"/>
      <c r="E36" s="4">
        <f t="shared" si="3"/>
        <v>241</v>
      </c>
      <c r="F36" s="4">
        <v>22</v>
      </c>
      <c r="G36" s="4"/>
      <c r="H36" s="4">
        <f t="shared" si="4"/>
        <v>12</v>
      </c>
      <c r="I36" s="4">
        <f t="shared" si="0"/>
        <v>219</v>
      </c>
      <c r="J36" s="4"/>
      <c r="K36" s="4">
        <v>4</v>
      </c>
      <c r="L36" s="4">
        <f t="shared" si="5"/>
        <v>119</v>
      </c>
      <c r="N36" s="37"/>
      <c r="O36" s="4"/>
      <c r="P36" s="4"/>
      <c r="Q36" s="4"/>
      <c r="R36" s="4"/>
      <c r="S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N36" s="48" t="s">
        <v>86</v>
      </c>
      <c r="AO36" s="4" t="s">
        <v>67</v>
      </c>
      <c r="AP36" s="21">
        <v>3</v>
      </c>
      <c r="AQ36" s="4">
        <v>3</v>
      </c>
      <c r="AR36" s="21">
        <f t="shared" si="8"/>
        <v>9</v>
      </c>
      <c r="AS36" s="4"/>
      <c r="AT36" s="4"/>
    </row>
    <row r="37" spans="1:46" ht="41.25" customHeight="1" x14ac:dyDescent="0.2">
      <c r="A37" s="4">
        <v>34</v>
      </c>
      <c r="B37" s="10">
        <v>45917</v>
      </c>
      <c r="C37" s="4">
        <v>15</v>
      </c>
      <c r="D37" s="4"/>
      <c r="E37" s="4">
        <f t="shared" si="3"/>
        <v>256</v>
      </c>
      <c r="F37" s="4">
        <v>25</v>
      </c>
      <c r="G37" s="4"/>
      <c r="H37" s="4">
        <f t="shared" si="4"/>
        <v>12</v>
      </c>
      <c r="I37" s="4">
        <f t="shared" si="0"/>
        <v>231</v>
      </c>
      <c r="J37" s="4"/>
      <c r="K37" s="4">
        <v>6</v>
      </c>
      <c r="L37" s="4">
        <f t="shared" si="5"/>
        <v>125</v>
      </c>
      <c r="N37" s="37"/>
      <c r="O37" s="4"/>
      <c r="P37" s="4"/>
      <c r="Q37" s="4"/>
      <c r="R37" s="4"/>
      <c r="S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N37" s="48"/>
      <c r="AO37" s="4" t="s">
        <v>48</v>
      </c>
      <c r="AP37" s="11">
        <v>150</v>
      </c>
      <c r="AQ37" s="4">
        <v>3</v>
      </c>
      <c r="AR37" s="11">
        <f t="shared" si="8"/>
        <v>450</v>
      </c>
      <c r="AS37" s="4"/>
      <c r="AT37" s="4"/>
    </row>
    <row r="38" spans="1:46" ht="41.25" customHeight="1" x14ac:dyDescent="0.2">
      <c r="A38" s="4">
        <v>35</v>
      </c>
      <c r="B38" s="10">
        <v>45918</v>
      </c>
      <c r="C38" s="4">
        <v>10</v>
      </c>
      <c r="D38" s="4"/>
      <c r="E38" s="4">
        <f t="shared" si="3"/>
        <v>266</v>
      </c>
      <c r="F38" s="4">
        <v>20</v>
      </c>
      <c r="G38" s="4"/>
      <c r="H38" s="4">
        <f t="shared" si="4"/>
        <v>15</v>
      </c>
      <c r="I38" s="4">
        <f t="shared" si="0"/>
        <v>246</v>
      </c>
      <c r="J38" s="4"/>
      <c r="K38" s="4"/>
      <c r="L38" s="4">
        <f t="shared" si="5"/>
        <v>125</v>
      </c>
      <c r="N38" s="37"/>
      <c r="O38" s="4"/>
      <c r="P38" s="4"/>
      <c r="Q38" s="4"/>
      <c r="R38" s="4"/>
      <c r="S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N38" s="48"/>
      <c r="AO38" s="4" t="s">
        <v>61</v>
      </c>
      <c r="AP38" s="20">
        <v>100</v>
      </c>
      <c r="AQ38" s="4">
        <v>3</v>
      </c>
      <c r="AR38" s="20">
        <f t="shared" si="8"/>
        <v>300</v>
      </c>
      <c r="AS38" s="4"/>
      <c r="AT38" s="4"/>
    </row>
    <row r="39" spans="1:46" ht="41.25" customHeight="1" x14ac:dyDescent="0.2">
      <c r="A39" s="4">
        <v>36</v>
      </c>
      <c r="B39" s="10">
        <v>45919</v>
      </c>
      <c r="C39" s="4">
        <v>10</v>
      </c>
      <c r="D39" s="4"/>
      <c r="E39" s="4">
        <f t="shared" si="3"/>
        <v>276</v>
      </c>
      <c r="F39" s="4">
        <v>18</v>
      </c>
      <c r="G39" s="4"/>
      <c r="H39" s="4">
        <f t="shared" si="4"/>
        <v>12</v>
      </c>
      <c r="I39" s="4">
        <f t="shared" si="0"/>
        <v>258</v>
      </c>
      <c r="J39" s="4"/>
      <c r="K39" s="4">
        <v>7</v>
      </c>
      <c r="L39" s="4">
        <f t="shared" si="5"/>
        <v>132</v>
      </c>
      <c r="N39" s="37"/>
      <c r="O39" s="4"/>
      <c r="P39" s="4"/>
      <c r="Q39" s="4"/>
      <c r="R39" s="4"/>
      <c r="S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N39" s="36" t="s">
        <v>141</v>
      </c>
      <c r="AO39" s="4" t="s">
        <v>72</v>
      </c>
      <c r="AP39" s="20">
        <v>270</v>
      </c>
      <c r="AQ39" s="4">
        <v>3</v>
      </c>
      <c r="AR39" s="20">
        <f t="shared" si="8"/>
        <v>810</v>
      </c>
      <c r="AS39" s="4"/>
      <c r="AT39" s="4"/>
    </row>
    <row r="40" spans="1:46" ht="41.25" customHeight="1" x14ac:dyDescent="0.2">
      <c r="A40" s="4">
        <v>37</v>
      </c>
      <c r="B40" s="10">
        <v>45920</v>
      </c>
      <c r="C40" s="4">
        <v>15</v>
      </c>
      <c r="D40" s="4"/>
      <c r="E40" s="4">
        <f t="shared" si="3"/>
        <v>291</v>
      </c>
      <c r="F40" s="4">
        <v>20</v>
      </c>
      <c r="G40" s="4"/>
      <c r="H40" s="4">
        <f t="shared" si="4"/>
        <v>13</v>
      </c>
      <c r="I40" s="4">
        <f t="shared" si="0"/>
        <v>271</v>
      </c>
      <c r="J40" s="4"/>
      <c r="K40" s="4">
        <v>2</v>
      </c>
      <c r="L40" s="4">
        <f t="shared" si="5"/>
        <v>134</v>
      </c>
      <c r="N40" s="37"/>
      <c r="O40" s="4"/>
      <c r="P40" s="4"/>
      <c r="Q40" s="4"/>
      <c r="R40" s="4"/>
      <c r="S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N40" s="48">
        <v>28</v>
      </c>
      <c r="AO40" s="4" t="s">
        <v>69</v>
      </c>
      <c r="AP40" s="25">
        <v>4</v>
      </c>
      <c r="AQ40" s="4">
        <v>1</v>
      </c>
      <c r="AR40" s="25">
        <f t="shared" si="8"/>
        <v>4</v>
      </c>
      <c r="AS40" s="4"/>
      <c r="AT40" s="4"/>
    </row>
    <row r="41" spans="1:46" ht="41.25" customHeight="1" x14ac:dyDescent="0.2">
      <c r="A41" s="4">
        <v>38</v>
      </c>
      <c r="B41" s="10">
        <v>45921</v>
      </c>
      <c r="C41" s="4">
        <v>14</v>
      </c>
      <c r="D41" s="4"/>
      <c r="E41" s="4">
        <f t="shared" si="3"/>
        <v>305</v>
      </c>
      <c r="F41" s="4">
        <v>24</v>
      </c>
      <c r="G41" s="4"/>
      <c r="H41" s="4">
        <f t="shared" si="4"/>
        <v>10</v>
      </c>
      <c r="I41" s="4">
        <f t="shared" si="0"/>
        <v>281</v>
      </c>
      <c r="J41" s="4"/>
      <c r="K41" s="4">
        <v>2</v>
      </c>
      <c r="L41" s="4">
        <f t="shared" si="5"/>
        <v>136</v>
      </c>
      <c r="N41" s="37"/>
      <c r="O41" s="4"/>
      <c r="P41" s="4"/>
      <c r="Q41" s="4"/>
      <c r="R41" s="4"/>
      <c r="S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N41" s="48"/>
      <c r="AO41" s="4" t="s">
        <v>63</v>
      </c>
      <c r="AP41" s="11">
        <v>450</v>
      </c>
      <c r="AQ41" s="4">
        <v>1</v>
      </c>
      <c r="AR41" s="11">
        <f t="shared" si="8"/>
        <v>450</v>
      </c>
      <c r="AS41" s="4"/>
      <c r="AT41" s="4"/>
    </row>
    <row r="42" spans="1:46" ht="41.25" customHeight="1" x14ac:dyDescent="0.2">
      <c r="A42" s="4">
        <v>39</v>
      </c>
      <c r="B42" s="10">
        <v>45922</v>
      </c>
      <c r="C42" s="4"/>
      <c r="D42" s="4"/>
      <c r="E42" s="4">
        <f t="shared" si="3"/>
        <v>305</v>
      </c>
      <c r="F42" s="4">
        <v>14</v>
      </c>
      <c r="G42" s="4"/>
      <c r="H42" s="4">
        <f t="shared" si="4"/>
        <v>10</v>
      </c>
      <c r="I42" s="4">
        <f t="shared" si="0"/>
        <v>291</v>
      </c>
      <c r="J42" s="4"/>
      <c r="K42" s="4">
        <v>6</v>
      </c>
      <c r="L42" s="4">
        <f t="shared" si="5"/>
        <v>142</v>
      </c>
      <c r="N42" s="37"/>
      <c r="O42" s="4"/>
      <c r="P42" s="4"/>
      <c r="Q42" s="4"/>
      <c r="R42" s="4"/>
      <c r="S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N42" s="48"/>
      <c r="AO42" s="4" t="s">
        <v>67</v>
      </c>
      <c r="AP42" s="21">
        <v>3</v>
      </c>
      <c r="AQ42" s="4">
        <v>1</v>
      </c>
      <c r="AR42" s="21">
        <f t="shared" si="8"/>
        <v>3</v>
      </c>
      <c r="AS42" s="4"/>
      <c r="AT42" s="4"/>
    </row>
    <row r="43" spans="1:46" ht="41.25" customHeight="1" x14ac:dyDescent="0.2">
      <c r="A43" s="4">
        <v>40</v>
      </c>
      <c r="B43" s="10">
        <v>45923</v>
      </c>
      <c r="C43" s="4">
        <v>15</v>
      </c>
      <c r="D43" s="4"/>
      <c r="E43" s="4">
        <f t="shared" si="3"/>
        <v>320</v>
      </c>
      <c r="F43" s="4">
        <v>19</v>
      </c>
      <c r="G43" s="4"/>
      <c r="H43" s="4">
        <f t="shared" si="4"/>
        <v>10</v>
      </c>
      <c r="I43" s="4">
        <f t="shared" si="0"/>
        <v>301</v>
      </c>
      <c r="J43" s="4"/>
      <c r="K43" s="4">
        <v>2</v>
      </c>
      <c r="L43" s="4">
        <f t="shared" si="5"/>
        <v>144</v>
      </c>
      <c r="N43" s="37"/>
      <c r="O43" s="4"/>
      <c r="P43" s="4"/>
      <c r="Q43" s="4"/>
      <c r="R43" s="4"/>
      <c r="S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N43" s="48"/>
      <c r="AO43" s="4" t="s">
        <v>48</v>
      </c>
      <c r="AP43" s="11">
        <v>250</v>
      </c>
      <c r="AQ43" s="4">
        <v>1</v>
      </c>
      <c r="AR43" s="11">
        <f t="shared" ref="AR43:AR45" si="9">AP43*AQ43</f>
        <v>250</v>
      </c>
      <c r="AS43" s="4"/>
      <c r="AT43" s="4"/>
    </row>
    <row r="44" spans="1:46" ht="41.25" customHeight="1" x14ac:dyDescent="0.2">
      <c r="A44" s="4">
        <v>41</v>
      </c>
      <c r="B44" s="10">
        <v>45924</v>
      </c>
      <c r="C44" s="4">
        <v>10</v>
      </c>
      <c r="D44" s="4"/>
      <c r="E44" s="4">
        <f t="shared" si="3"/>
        <v>330</v>
      </c>
      <c r="F44" s="4">
        <v>16</v>
      </c>
      <c r="G44" s="4"/>
      <c r="H44" s="4">
        <f t="shared" si="4"/>
        <v>13</v>
      </c>
      <c r="I44" s="4">
        <f t="shared" si="0"/>
        <v>314</v>
      </c>
      <c r="J44" s="4"/>
      <c r="K44" s="4">
        <v>1</v>
      </c>
      <c r="L44" s="4">
        <f t="shared" si="5"/>
        <v>145</v>
      </c>
      <c r="N44" s="37"/>
      <c r="O44" s="4"/>
      <c r="P44" s="4"/>
      <c r="Q44" s="4"/>
      <c r="R44" s="4"/>
      <c r="S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N44" s="48" t="s">
        <v>142</v>
      </c>
      <c r="AO44" s="4" t="s">
        <v>67</v>
      </c>
      <c r="AP44" s="21">
        <v>3</v>
      </c>
      <c r="AQ44" s="4">
        <v>2</v>
      </c>
      <c r="AR44" s="21">
        <f t="shared" si="9"/>
        <v>6</v>
      </c>
      <c r="AS44" s="4"/>
      <c r="AT44" s="4"/>
    </row>
    <row r="45" spans="1:46" ht="41.25" customHeight="1" x14ac:dyDescent="0.2">
      <c r="A45" s="4">
        <v>42</v>
      </c>
      <c r="B45" s="10">
        <v>45925</v>
      </c>
      <c r="C45" s="4">
        <v>7</v>
      </c>
      <c r="D45" s="4"/>
      <c r="E45" s="4">
        <f t="shared" si="3"/>
        <v>337</v>
      </c>
      <c r="F45" s="4">
        <v>13</v>
      </c>
      <c r="G45" s="4"/>
      <c r="H45" s="4">
        <f t="shared" si="4"/>
        <v>10</v>
      </c>
      <c r="I45" s="4">
        <f t="shared" si="0"/>
        <v>324</v>
      </c>
      <c r="J45" s="4"/>
      <c r="K45" s="4">
        <v>1</v>
      </c>
      <c r="L45" s="4">
        <f t="shared" si="5"/>
        <v>146</v>
      </c>
      <c r="N45" s="37"/>
      <c r="O45" s="4"/>
      <c r="P45" s="4"/>
      <c r="Q45" s="4"/>
      <c r="R45" s="4"/>
      <c r="S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N45" s="48"/>
      <c r="AO45" s="4" t="s">
        <v>48</v>
      </c>
      <c r="AP45" s="11">
        <v>250</v>
      </c>
      <c r="AQ45" s="4">
        <v>2</v>
      </c>
      <c r="AR45" s="11">
        <f t="shared" si="9"/>
        <v>500</v>
      </c>
      <c r="AS45" s="4"/>
      <c r="AT45" s="4"/>
    </row>
    <row r="46" spans="1:46" ht="41.25" customHeight="1" x14ac:dyDescent="0.2">
      <c r="A46" s="4">
        <v>43</v>
      </c>
      <c r="B46" s="10">
        <v>45926</v>
      </c>
      <c r="C46" s="4">
        <v>10</v>
      </c>
      <c r="D46" s="4"/>
      <c r="E46" s="4">
        <f t="shared" si="3"/>
        <v>347</v>
      </c>
      <c r="F46" s="4">
        <v>13</v>
      </c>
      <c r="G46" s="4"/>
      <c r="H46" s="4">
        <f t="shared" si="4"/>
        <v>10</v>
      </c>
      <c r="I46" s="4">
        <f t="shared" si="0"/>
        <v>334</v>
      </c>
      <c r="J46" s="4"/>
      <c r="K46" s="4">
        <v>3</v>
      </c>
      <c r="L46" s="4">
        <f t="shared" si="5"/>
        <v>149</v>
      </c>
      <c r="N46" s="37"/>
      <c r="O46" s="4"/>
      <c r="P46" s="4"/>
      <c r="Q46" s="4"/>
      <c r="R46" s="4"/>
      <c r="S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N46" s="48" t="s">
        <v>89</v>
      </c>
      <c r="AO46" s="4" t="s">
        <v>137</v>
      </c>
      <c r="AP46" s="11">
        <v>200</v>
      </c>
      <c r="AQ46" s="4">
        <v>3</v>
      </c>
      <c r="AR46" s="21">
        <f>AP46*AQ46</f>
        <v>600</v>
      </c>
      <c r="AS46" s="4"/>
      <c r="AT46" s="4"/>
    </row>
    <row r="47" spans="1:46" ht="41.25" customHeight="1" x14ac:dyDescent="0.2">
      <c r="A47" s="4">
        <v>44</v>
      </c>
      <c r="B47" s="10">
        <v>45927</v>
      </c>
      <c r="C47" s="4"/>
      <c r="D47" s="4"/>
      <c r="E47" s="4">
        <f t="shared" si="3"/>
        <v>347</v>
      </c>
      <c r="F47" s="4"/>
      <c r="G47" s="4"/>
      <c r="H47" s="4">
        <f t="shared" si="4"/>
        <v>13</v>
      </c>
      <c r="I47" s="4">
        <f t="shared" si="0"/>
        <v>347</v>
      </c>
      <c r="J47" s="4"/>
      <c r="K47" s="4"/>
      <c r="L47" s="4">
        <f t="shared" si="5"/>
        <v>149</v>
      </c>
      <c r="N47" s="37"/>
      <c r="O47" s="4"/>
      <c r="P47" s="4"/>
      <c r="Q47" s="4"/>
      <c r="R47" s="4"/>
      <c r="S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N47" s="48"/>
      <c r="AO47" s="4" t="s">
        <v>88</v>
      </c>
      <c r="AP47" s="11">
        <v>100</v>
      </c>
      <c r="AQ47" s="4">
        <v>3</v>
      </c>
      <c r="AR47" s="21">
        <f>AP47*AQ47</f>
        <v>300</v>
      </c>
      <c r="AS47" s="4"/>
      <c r="AT47" s="4"/>
    </row>
    <row r="48" spans="1:46" ht="41.25" customHeight="1" x14ac:dyDescent="0.2">
      <c r="A48" s="4">
        <v>45</v>
      </c>
      <c r="B48" s="10">
        <v>45928</v>
      </c>
      <c r="C48" s="4"/>
      <c r="D48" s="4"/>
      <c r="E48" s="4">
        <f t="shared" si="3"/>
        <v>347</v>
      </c>
      <c r="F48" s="4"/>
      <c r="G48" s="4"/>
      <c r="H48" s="4">
        <f t="shared" si="4"/>
        <v>0</v>
      </c>
      <c r="I48" s="4">
        <f t="shared" si="0"/>
        <v>347</v>
      </c>
      <c r="J48" s="4"/>
      <c r="K48" s="4"/>
      <c r="L48" s="4">
        <f t="shared" si="5"/>
        <v>149</v>
      </c>
      <c r="N48" s="37"/>
      <c r="O48" s="4"/>
      <c r="P48" s="4"/>
      <c r="Q48" s="4"/>
      <c r="R48" s="4"/>
      <c r="S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N48" s="48"/>
      <c r="AO48" s="4" t="s">
        <v>47</v>
      </c>
      <c r="AP48" s="20">
        <v>400</v>
      </c>
      <c r="AQ48" s="4">
        <v>3</v>
      </c>
      <c r="AR48" s="21">
        <f>AP48*AQ48</f>
        <v>1200</v>
      </c>
      <c r="AS48" s="4"/>
      <c r="AT48" s="4"/>
    </row>
    <row r="49" spans="1:46" ht="41.25" customHeight="1" x14ac:dyDescent="0.2">
      <c r="A49" s="4">
        <v>46</v>
      </c>
      <c r="B49" s="10">
        <v>45929</v>
      </c>
      <c r="C49" s="4"/>
      <c r="D49" s="4"/>
      <c r="E49" s="4">
        <f t="shared" si="3"/>
        <v>347</v>
      </c>
      <c r="F49" s="4"/>
      <c r="G49" s="4"/>
      <c r="H49" s="4">
        <f t="shared" si="4"/>
        <v>0</v>
      </c>
      <c r="I49" s="4">
        <f t="shared" si="0"/>
        <v>347</v>
      </c>
      <c r="J49" s="4"/>
      <c r="K49" s="4"/>
      <c r="L49" s="4">
        <f t="shared" si="5"/>
        <v>149</v>
      </c>
      <c r="N49" s="37"/>
      <c r="O49" s="4"/>
      <c r="P49" s="4"/>
      <c r="Q49" s="4"/>
      <c r="R49" s="4"/>
      <c r="S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N49" s="36" t="s">
        <v>143</v>
      </c>
      <c r="AO49" s="4" t="s">
        <v>70</v>
      </c>
      <c r="AP49" s="20">
        <v>550</v>
      </c>
      <c r="AQ49" s="4">
        <v>3</v>
      </c>
      <c r="AR49" s="21">
        <f>AP49*AQ49</f>
        <v>1650</v>
      </c>
      <c r="AS49" s="4"/>
      <c r="AT49" s="4"/>
    </row>
    <row r="50" spans="1:46" ht="41.25" customHeight="1" x14ac:dyDescent="0.2">
      <c r="A50" s="4">
        <v>47</v>
      </c>
      <c r="B50" s="10">
        <v>45930</v>
      </c>
      <c r="C50" s="4"/>
      <c r="D50" s="4"/>
      <c r="E50" s="4">
        <f t="shared" si="3"/>
        <v>347</v>
      </c>
      <c r="F50" s="4"/>
      <c r="G50" s="4"/>
      <c r="H50" s="4">
        <f t="shared" si="4"/>
        <v>0</v>
      </c>
      <c r="I50" s="4">
        <f t="shared" si="0"/>
        <v>347</v>
      </c>
      <c r="J50" s="4"/>
      <c r="K50" s="4"/>
      <c r="L50" s="4">
        <f t="shared" si="5"/>
        <v>149</v>
      </c>
      <c r="N50" s="37"/>
      <c r="O50" s="4"/>
      <c r="P50" s="4"/>
      <c r="Q50" s="4"/>
      <c r="R50" s="4"/>
      <c r="S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N50" s="36"/>
      <c r="AO50" s="4"/>
      <c r="AP50" s="4"/>
      <c r="AQ50" s="4"/>
      <c r="AR50" s="4"/>
      <c r="AS50" s="4"/>
      <c r="AT50" s="4"/>
    </row>
    <row r="51" spans="1:46" ht="41.25" customHeight="1" x14ac:dyDescent="0.2">
      <c r="A51" s="4">
        <v>48</v>
      </c>
      <c r="B51" s="10">
        <v>45931</v>
      </c>
      <c r="C51" s="4"/>
      <c r="D51" s="4"/>
      <c r="E51" s="4">
        <f t="shared" si="3"/>
        <v>347</v>
      </c>
      <c r="F51" s="4"/>
      <c r="G51" s="4"/>
      <c r="H51" s="4">
        <f t="shared" si="4"/>
        <v>0</v>
      </c>
      <c r="I51" s="4">
        <f t="shared" si="0"/>
        <v>347</v>
      </c>
      <c r="J51" s="4"/>
      <c r="K51" s="4"/>
      <c r="L51" s="4">
        <f t="shared" si="5"/>
        <v>149</v>
      </c>
      <c r="N51" s="37"/>
      <c r="O51" s="4"/>
      <c r="P51" s="4"/>
      <c r="Q51" s="4"/>
      <c r="R51" s="4"/>
      <c r="S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N51" s="36"/>
      <c r="AO51" s="4"/>
      <c r="AP51" s="4"/>
      <c r="AQ51" s="4"/>
      <c r="AR51" s="4"/>
      <c r="AS51" s="4"/>
      <c r="AT51" s="4"/>
    </row>
    <row r="52" spans="1:46" ht="41.25" customHeight="1" x14ac:dyDescent="0.2">
      <c r="A52" s="4">
        <v>49</v>
      </c>
      <c r="B52" s="10">
        <v>45932</v>
      </c>
      <c r="C52" s="4"/>
      <c r="D52" s="4"/>
      <c r="E52" s="4">
        <f t="shared" si="3"/>
        <v>347</v>
      </c>
      <c r="F52" s="4"/>
      <c r="G52" s="4"/>
      <c r="H52" s="4">
        <f t="shared" si="4"/>
        <v>0</v>
      </c>
      <c r="I52" s="4">
        <f t="shared" si="0"/>
        <v>347</v>
      </c>
      <c r="J52" s="4"/>
      <c r="K52" s="4"/>
      <c r="L52" s="4">
        <f t="shared" si="5"/>
        <v>149</v>
      </c>
      <c r="N52" s="37"/>
      <c r="O52" s="4"/>
      <c r="P52" s="4"/>
      <c r="Q52" s="4"/>
      <c r="R52" s="4"/>
      <c r="S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N52" s="36"/>
      <c r="AO52" s="4"/>
      <c r="AP52" s="4"/>
      <c r="AQ52" s="4"/>
      <c r="AR52" s="21"/>
      <c r="AS52" s="4"/>
      <c r="AT52" s="4"/>
    </row>
    <row r="53" spans="1:46" ht="41.25" customHeight="1" x14ac:dyDescent="0.2">
      <c r="A53" s="4">
        <v>50</v>
      </c>
      <c r="B53" s="10">
        <v>45933</v>
      </c>
      <c r="C53" s="4"/>
      <c r="D53" s="4"/>
      <c r="E53" s="4">
        <f t="shared" si="3"/>
        <v>347</v>
      </c>
      <c r="F53" s="4"/>
      <c r="G53" s="4"/>
      <c r="H53" s="4">
        <f t="shared" si="4"/>
        <v>0</v>
      </c>
      <c r="I53" s="4">
        <f t="shared" si="0"/>
        <v>347</v>
      </c>
      <c r="J53" s="4"/>
      <c r="K53" s="4"/>
      <c r="L53" s="4">
        <f t="shared" si="5"/>
        <v>149</v>
      </c>
      <c r="N53" s="37"/>
      <c r="O53" s="4"/>
      <c r="P53" s="4"/>
      <c r="Q53" s="4"/>
      <c r="R53" s="4"/>
      <c r="S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N53" s="36"/>
      <c r="AO53" s="4"/>
      <c r="AP53" s="4"/>
      <c r="AQ53" s="4"/>
      <c r="AR53" s="21"/>
      <c r="AS53" s="4"/>
      <c r="AT53" s="4"/>
    </row>
    <row r="54" spans="1:46" ht="41.25" customHeight="1" x14ac:dyDescent="0.2">
      <c r="AF54" s="4"/>
      <c r="AG54" s="4"/>
      <c r="AH54" s="4"/>
      <c r="AI54" s="4"/>
      <c r="AJ54" s="4"/>
      <c r="AK54" s="4"/>
      <c r="AL54" s="4"/>
      <c r="AN54" s="4"/>
      <c r="AO54" s="4"/>
      <c r="AP54" s="4"/>
      <c r="AQ54" s="4"/>
      <c r="AR54" s="4"/>
      <c r="AS54" s="4"/>
      <c r="AT54" s="4"/>
    </row>
    <row r="55" spans="1:46" ht="41.25" customHeight="1" x14ac:dyDescent="0.2">
      <c r="AF55" s="4"/>
      <c r="AG55" s="4"/>
      <c r="AH55" s="4"/>
      <c r="AI55" s="4"/>
      <c r="AJ55" s="4"/>
      <c r="AK55" s="4"/>
      <c r="AL55" s="4"/>
      <c r="AN55" s="4"/>
      <c r="AO55" s="4"/>
      <c r="AP55" s="4"/>
      <c r="AQ55" s="4"/>
      <c r="AR55" s="4"/>
      <c r="AS55" s="4"/>
      <c r="AT55" s="4"/>
    </row>
    <row r="56" spans="1:46" ht="41.25" customHeight="1" x14ac:dyDescent="0.2">
      <c r="AN56" s="4"/>
      <c r="AO56" s="4"/>
      <c r="AP56" s="4"/>
      <c r="AQ56" s="4"/>
      <c r="AR56" s="4"/>
      <c r="AS56" s="4"/>
      <c r="AT56" s="4"/>
    </row>
    <row r="57" spans="1:46" ht="41.25" customHeight="1" x14ac:dyDescent="0.2">
      <c r="AN57" s="4"/>
      <c r="AO57" s="4"/>
      <c r="AP57" s="4"/>
      <c r="AQ57" s="4"/>
      <c r="AR57" s="4"/>
      <c r="AS57" s="4"/>
      <c r="AT57" s="4"/>
    </row>
    <row r="58" spans="1:46" ht="41.25" customHeight="1" x14ac:dyDescent="0.2">
      <c r="AN58" s="4"/>
      <c r="AO58" s="4"/>
      <c r="AP58" s="4"/>
      <c r="AQ58" s="4"/>
      <c r="AR58" s="4"/>
      <c r="AS58" s="4"/>
      <c r="AT58" s="4"/>
    </row>
    <row r="59" spans="1:46" ht="41.25" customHeight="1" x14ac:dyDescent="0.2">
      <c r="AN59" s="4"/>
      <c r="AO59" s="4"/>
      <c r="AP59" s="4"/>
      <c r="AQ59" s="4"/>
      <c r="AR59" s="4"/>
      <c r="AS59" s="4"/>
      <c r="AT59" s="4"/>
    </row>
    <row r="60" spans="1:46" ht="41.25" customHeight="1" x14ac:dyDescent="0.2">
      <c r="AN60" s="4"/>
      <c r="AO60" s="4"/>
      <c r="AP60" s="4"/>
      <c r="AQ60" s="4"/>
      <c r="AR60" s="4"/>
      <c r="AS60" s="4"/>
      <c r="AT60" s="4"/>
    </row>
    <row r="61" spans="1:46" ht="41.25" customHeight="1" x14ac:dyDescent="0.2">
      <c r="AN61" s="4"/>
      <c r="AO61" s="4"/>
      <c r="AP61" s="4"/>
      <c r="AQ61" s="4"/>
      <c r="AR61" s="4"/>
      <c r="AS61" s="4"/>
      <c r="AT61" s="4"/>
    </row>
    <row r="62" spans="1:46" ht="41.25" customHeight="1" x14ac:dyDescent="0.2">
      <c r="AN62" s="4"/>
      <c r="AO62" s="4"/>
      <c r="AP62" s="4"/>
      <c r="AQ62" s="4"/>
      <c r="AR62" s="4"/>
      <c r="AS62" s="4"/>
      <c r="AT62" s="4"/>
    </row>
    <row r="63" spans="1:46" ht="41.25" customHeight="1" x14ac:dyDescent="0.2">
      <c r="AN63" s="4"/>
      <c r="AO63" s="4"/>
      <c r="AP63" s="4"/>
      <c r="AQ63" s="4"/>
      <c r="AR63" s="4"/>
      <c r="AS63" s="4"/>
      <c r="AT63" s="4"/>
    </row>
    <row r="64" spans="1:46" ht="41.25" customHeight="1" x14ac:dyDescent="0.2">
      <c r="AN64" s="4"/>
      <c r="AO64" s="4"/>
      <c r="AP64" s="4"/>
      <c r="AQ64" s="4"/>
      <c r="AR64" s="4"/>
      <c r="AS64" s="4"/>
      <c r="AT64" s="4"/>
    </row>
  </sheetData>
  <mergeCells count="30">
    <mergeCell ref="AN2:AT2"/>
    <mergeCell ref="C1:K1"/>
    <mergeCell ref="A2:B2"/>
    <mergeCell ref="C2:K2"/>
    <mergeCell ref="AN24:AN27"/>
    <mergeCell ref="U1:AL1"/>
    <mergeCell ref="O2:S2"/>
    <mergeCell ref="U2:V2"/>
    <mergeCell ref="W2:X2"/>
    <mergeCell ref="Y2:AA2"/>
    <mergeCell ref="AD2:AG2"/>
    <mergeCell ref="N4:N5"/>
    <mergeCell ref="O4:O9"/>
    <mergeCell ref="AN4:AN7"/>
    <mergeCell ref="AN8:AN11"/>
    <mergeCell ref="O10:O19"/>
    <mergeCell ref="AN12:AN15"/>
    <mergeCell ref="N14:N15"/>
    <mergeCell ref="AN16:AN19"/>
    <mergeCell ref="O20:O31"/>
    <mergeCell ref="AN20:AN23"/>
    <mergeCell ref="N21:N22"/>
    <mergeCell ref="N23:N24"/>
    <mergeCell ref="N26:N27"/>
    <mergeCell ref="AN28:AN30"/>
    <mergeCell ref="AN32:AN35"/>
    <mergeCell ref="AN36:AN38"/>
    <mergeCell ref="AN40:AN43"/>
    <mergeCell ref="AN44:AN45"/>
    <mergeCell ref="AN46:AN4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B7AE-08F2-473B-953A-C1B25F92A01D}">
  <sheetPr>
    <tabColor rgb="FF7030A0"/>
  </sheetPr>
  <dimension ref="A1:AS75"/>
  <sheetViews>
    <sheetView zoomScale="93" zoomScaleNormal="93" workbookViewId="0">
      <pane ySplit="3" topLeftCell="A4" activePane="bottomLeft" state="frozen"/>
      <selection pane="bottomLeft" activeCell="AC4" sqref="AC4"/>
    </sheetView>
  </sheetViews>
  <sheetFormatPr defaultColWidth="12.125" defaultRowHeight="18" x14ac:dyDescent="0.2"/>
  <cols>
    <col min="1" max="1" width="12.125" style="1"/>
    <col min="2" max="2" width="16.75" style="1" customWidth="1"/>
    <col min="3" max="6" width="12.125" style="1"/>
    <col min="7" max="7" width="11.25" style="1" bestFit="1" customWidth="1"/>
    <col min="8" max="9" width="21.875" style="1" bestFit="1" customWidth="1"/>
    <col min="10" max="10" width="12.5" style="1" customWidth="1"/>
    <col min="11" max="11" width="13.25" style="1" customWidth="1"/>
    <col min="12" max="12" width="16.125" style="1" bestFit="1" customWidth="1"/>
    <col min="13" max="13" width="7.625" style="3" customWidth="1"/>
    <col min="14" max="14" width="20.875" style="1" customWidth="1"/>
    <col min="15" max="15" width="19.5" style="1" customWidth="1"/>
    <col min="16" max="16" width="18.25" style="1" customWidth="1"/>
    <col min="17" max="17" width="17.625" style="1" customWidth="1"/>
    <col min="18" max="18" width="21.375" style="1" customWidth="1"/>
    <col min="19" max="19" width="8.5" style="2" customWidth="1"/>
    <col min="20" max="20" width="15.625" style="1" customWidth="1"/>
    <col min="21" max="21" width="14.75" style="1" customWidth="1"/>
    <col min="22" max="22" width="15.375" style="1" customWidth="1"/>
    <col min="23" max="23" width="23" style="1" customWidth="1"/>
    <col min="24" max="25" width="22.625" style="1" customWidth="1"/>
    <col min="26" max="26" width="13" style="1" bestFit="1" customWidth="1"/>
    <col min="27" max="27" width="16.375" style="1" bestFit="1" customWidth="1"/>
    <col min="28" max="28" width="23.125" style="1" bestFit="1" customWidth="1"/>
    <col min="29" max="29" width="23.125" style="1" customWidth="1"/>
    <col min="30" max="30" width="12" style="1" customWidth="1"/>
    <col min="31" max="32" width="12.125" style="1"/>
    <col min="33" max="33" width="30.75" style="1" bestFit="1" customWidth="1"/>
    <col min="34" max="34" width="30.75" style="1" customWidth="1"/>
    <col min="35" max="35" width="29" style="1" bestFit="1" customWidth="1"/>
    <col min="36" max="36" width="13.75" style="1" customWidth="1"/>
    <col min="37" max="37" width="13.875" style="1" customWidth="1"/>
    <col min="38" max="38" width="10.375" style="7" customWidth="1"/>
    <col min="39" max="40" width="18.625" style="1" customWidth="1"/>
    <col min="41" max="41" width="19.125" style="1" customWidth="1"/>
    <col min="42" max="42" width="15.75" style="1" customWidth="1"/>
    <col min="43" max="43" width="16.5" style="1" customWidth="1"/>
    <col min="44" max="44" width="17.75" style="1" customWidth="1"/>
    <col min="45" max="45" width="17.375" style="1" customWidth="1"/>
    <col min="46" max="16384" width="12.125" style="1"/>
  </cols>
  <sheetData>
    <row r="1" spans="1:45" ht="41.25" customHeight="1" x14ac:dyDescent="0.2">
      <c r="A1" s="4"/>
      <c r="B1" s="9"/>
      <c r="C1" s="46" t="s">
        <v>144</v>
      </c>
      <c r="D1" s="46"/>
      <c r="E1" s="46"/>
      <c r="F1" s="46"/>
      <c r="G1" s="46"/>
      <c r="H1" s="46"/>
      <c r="I1" s="46"/>
      <c r="J1" s="46"/>
      <c r="K1" s="47"/>
      <c r="L1" s="4"/>
      <c r="N1" s="45"/>
      <c r="O1" s="46"/>
      <c r="P1" s="46"/>
      <c r="Q1" s="46"/>
      <c r="R1" s="47"/>
      <c r="T1" s="45" t="s">
        <v>26</v>
      </c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M1" s="4"/>
      <c r="AN1" s="4"/>
      <c r="AO1" s="4"/>
      <c r="AP1" s="4"/>
      <c r="AQ1" s="4"/>
      <c r="AR1" s="4"/>
      <c r="AS1" s="4"/>
    </row>
    <row r="2" spans="1:45" ht="41.25" customHeight="1" x14ac:dyDescent="0.2">
      <c r="A2" s="51">
        <v>45864</v>
      </c>
      <c r="B2" s="46"/>
      <c r="C2" s="46" t="s">
        <v>145</v>
      </c>
      <c r="D2" s="46"/>
      <c r="E2" s="46"/>
      <c r="F2" s="46"/>
      <c r="G2" s="46"/>
      <c r="H2" s="46"/>
      <c r="I2" s="46"/>
      <c r="J2" s="46"/>
      <c r="K2" s="47"/>
      <c r="L2" s="4" t="s">
        <v>119</v>
      </c>
      <c r="N2" s="45" t="s">
        <v>27</v>
      </c>
      <c r="O2" s="46"/>
      <c r="P2" s="46"/>
      <c r="Q2" s="46"/>
      <c r="R2" s="47"/>
      <c r="T2" s="45" t="s">
        <v>103</v>
      </c>
      <c r="U2" s="46"/>
      <c r="V2" s="45" t="s">
        <v>41</v>
      </c>
      <c r="W2" s="47"/>
      <c r="X2" s="45">
        <v>3770</v>
      </c>
      <c r="Y2" s="46"/>
      <c r="Z2" s="47"/>
      <c r="AA2" s="6"/>
      <c r="AB2" s="6"/>
      <c r="AC2" s="46" t="s">
        <v>9</v>
      </c>
      <c r="AD2" s="46"/>
      <c r="AE2" s="46"/>
      <c r="AF2" s="47"/>
      <c r="AG2" s="4" t="s">
        <v>18</v>
      </c>
      <c r="AH2" s="45">
        <v>3299</v>
      </c>
      <c r="AI2" s="46"/>
      <c r="AJ2" s="47"/>
      <c r="AK2" s="4"/>
      <c r="AM2" s="48" t="s">
        <v>33</v>
      </c>
      <c r="AN2" s="48"/>
      <c r="AO2" s="48"/>
      <c r="AP2" s="48"/>
      <c r="AQ2" s="48"/>
      <c r="AR2" s="48"/>
      <c r="AS2" s="48"/>
    </row>
    <row r="3" spans="1:45" ht="41.2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11</v>
      </c>
      <c r="I3" s="4" t="s">
        <v>7</v>
      </c>
      <c r="J3" s="4" t="s">
        <v>8</v>
      </c>
      <c r="K3" s="4" t="s">
        <v>9</v>
      </c>
      <c r="L3" s="4" t="s">
        <v>10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T3" s="4" t="s">
        <v>1</v>
      </c>
      <c r="U3" s="4" t="s">
        <v>17</v>
      </c>
      <c r="V3" s="4" t="s">
        <v>8</v>
      </c>
      <c r="W3" s="4" t="s">
        <v>18</v>
      </c>
      <c r="X3" s="4" t="s">
        <v>19</v>
      </c>
      <c r="Y3" s="4" t="s">
        <v>8</v>
      </c>
      <c r="Z3" s="4" t="s">
        <v>38</v>
      </c>
      <c r="AA3" s="4" t="s">
        <v>25</v>
      </c>
      <c r="AB3" s="4" t="s">
        <v>18</v>
      </c>
      <c r="AC3" s="4" t="s">
        <v>23</v>
      </c>
      <c r="AD3" s="4" t="s">
        <v>20</v>
      </c>
      <c r="AE3" s="4" t="s">
        <v>21</v>
      </c>
      <c r="AF3" s="4" t="s">
        <v>22</v>
      </c>
      <c r="AG3" s="4" t="s">
        <v>43</v>
      </c>
      <c r="AH3" s="4" t="s">
        <v>7</v>
      </c>
      <c r="AI3" s="4" t="s">
        <v>44</v>
      </c>
      <c r="AJ3" s="4" t="s">
        <v>8</v>
      </c>
      <c r="AK3" s="4" t="s">
        <v>24</v>
      </c>
      <c r="AM3" s="4" t="s">
        <v>28</v>
      </c>
      <c r="AN3" s="4" t="s">
        <v>29</v>
      </c>
      <c r="AO3" s="4" t="s">
        <v>14</v>
      </c>
      <c r="AP3" s="4" t="s">
        <v>30</v>
      </c>
      <c r="AQ3" s="4" t="s">
        <v>31</v>
      </c>
      <c r="AR3" s="4" t="s">
        <v>32</v>
      </c>
      <c r="AS3" s="4" t="s">
        <v>16</v>
      </c>
    </row>
    <row r="4" spans="1:45" ht="41.25" customHeight="1" x14ac:dyDescent="0.2">
      <c r="A4" s="4">
        <v>1</v>
      </c>
      <c r="B4" s="10">
        <v>45865</v>
      </c>
      <c r="C4" s="4">
        <v>10</v>
      </c>
      <c r="D4" s="4"/>
      <c r="E4" s="4">
        <v>10</v>
      </c>
      <c r="F4" s="4">
        <v>9.5</v>
      </c>
      <c r="G4" s="4"/>
      <c r="H4" s="4">
        <v>0.5</v>
      </c>
      <c r="I4" s="4">
        <f t="shared" ref="I4:I53" si="0">E4-F4-G4</f>
        <v>0.5</v>
      </c>
      <c r="J4" s="4"/>
      <c r="K4" s="4">
        <v>14</v>
      </c>
      <c r="L4" s="4">
        <v>14</v>
      </c>
      <c r="N4" s="4"/>
      <c r="O4" s="4"/>
      <c r="P4" s="4"/>
      <c r="Q4" s="4"/>
      <c r="R4" s="4"/>
      <c r="T4" s="27">
        <v>45904</v>
      </c>
      <c r="U4" s="1">
        <v>1330</v>
      </c>
      <c r="V4" s="4">
        <v>2120.6999999999998</v>
      </c>
      <c r="W4" s="4">
        <v>1330</v>
      </c>
      <c r="X4" s="4">
        <v>2120.6999999999998</v>
      </c>
      <c r="Y4" s="4">
        <f>X4/W4</f>
        <v>1.5945112781954887</v>
      </c>
      <c r="Z4" s="4">
        <v>454</v>
      </c>
      <c r="AA4" s="4">
        <f>Z4*100/X2</f>
        <v>12.042440318302388</v>
      </c>
      <c r="AB4" s="4">
        <v>3299</v>
      </c>
      <c r="AC4" s="1">
        <f>AB4+Z4-X2</f>
        <v>-17</v>
      </c>
      <c r="AD4" s="4">
        <v>105</v>
      </c>
      <c r="AE4" s="4">
        <v>45</v>
      </c>
      <c r="AF4" s="4">
        <v>48</v>
      </c>
      <c r="AG4" s="4">
        <v>4945</v>
      </c>
      <c r="AH4" s="42">
        <v>252</v>
      </c>
      <c r="AI4" s="42">
        <f>AH4*30.76</f>
        <v>7751.52</v>
      </c>
      <c r="AJ4" s="42">
        <f>AG4/AH2</f>
        <v>1.4989390724461957</v>
      </c>
      <c r="AK4" s="42">
        <f>AI4/AG5</f>
        <v>1.5360494610019026</v>
      </c>
      <c r="AM4" s="48" t="s">
        <v>105</v>
      </c>
      <c r="AN4" s="4" t="s">
        <v>45</v>
      </c>
      <c r="AO4" s="20">
        <v>55</v>
      </c>
      <c r="AP4" s="4">
        <v>2</v>
      </c>
      <c r="AQ4" s="20">
        <f>AO4*AP4</f>
        <v>110</v>
      </c>
      <c r="AR4" s="4"/>
      <c r="AS4" s="25"/>
    </row>
    <row r="5" spans="1:45" ht="41.25" customHeight="1" x14ac:dyDescent="0.2">
      <c r="A5" s="4">
        <v>2</v>
      </c>
      <c r="B5" s="10">
        <v>45866</v>
      </c>
      <c r="C5" s="4"/>
      <c r="D5" s="4"/>
      <c r="E5" s="4">
        <f>E4+C5+D5</f>
        <v>10</v>
      </c>
      <c r="F5" s="4">
        <v>8</v>
      </c>
      <c r="G5" s="4"/>
      <c r="H5" s="4">
        <f>I5-I4</f>
        <v>1.5</v>
      </c>
      <c r="I5" s="4">
        <f t="shared" si="0"/>
        <v>2</v>
      </c>
      <c r="J5" s="4"/>
      <c r="K5" s="4">
        <v>11</v>
      </c>
      <c r="L5" s="4">
        <f>L4+K5</f>
        <v>25</v>
      </c>
      <c r="N5" s="4"/>
      <c r="O5" s="4"/>
      <c r="P5" s="4"/>
      <c r="Q5" s="4"/>
      <c r="R5" s="4"/>
      <c r="T5" s="27">
        <v>45905</v>
      </c>
      <c r="U5" s="24">
        <v>861</v>
      </c>
      <c r="V5" s="4">
        <v>1341.6</v>
      </c>
      <c r="W5" s="4">
        <f>W4+U5</f>
        <v>2191</v>
      </c>
      <c r="X5" s="4">
        <f>X4+V5</f>
        <v>3462.2999999999997</v>
      </c>
      <c r="Y5" s="4">
        <f t="shared" ref="Y5:Y10" si="1">X5/W5</f>
        <v>1.5802373345504335</v>
      </c>
      <c r="Z5" s="4"/>
      <c r="AA5" s="4"/>
      <c r="AB5" s="4"/>
      <c r="AC5" s="4"/>
      <c r="AD5" s="4">
        <f>AD4*0.3</f>
        <v>31.5</v>
      </c>
      <c r="AE5" s="4">
        <f>AE4*0.7</f>
        <v>31.499999999999996</v>
      </c>
      <c r="AF5" s="4">
        <f>AF4*0.8</f>
        <v>38.400000000000006</v>
      </c>
      <c r="AG5" s="4">
        <f>AG4+AD5+AE5+AF5</f>
        <v>5046.3999999999996</v>
      </c>
      <c r="AH5" s="44"/>
      <c r="AI5" s="44"/>
      <c r="AJ5" s="44"/>
      <c r="AK5" s="44"/>
      <c r="AM5" s="48"/>
      <c r="AN5" s="4" t="s">
        <v>77</v>
      </c>
      <c r="AO5" s="20">
        <v>40</v>
      </c>
      <c r="AP5" s="4">
        <v>2</v>
      </c>
      <c r="AQ5" s="20">
        <f t="shared" ref="AQ5:AQ13" si="2">AO5*AP5</f>
        <v>80</v>
      </c>
      <c r="AR5" s="4"/>
      <c r="AS5" s="20"/>
    </row>
    <row r="6" spans="1:45" ht="41.25" customHeight="1" x14ac:dyDescent="0.2">
      <c r="A6" s="4">
        <v>3</v>
      </c>
      <c r="B6" s="10">
        <v>45867</v>
      </c>
      <c r="C6" s="4"/>
      <c r="D6" s="4"/>
      <c r="E6" s="4">
        <f t="shared" ref="E6:E53" si="3">E5+C6+D6</f>
        <v>10</v>
      </c>
      <c r="F6" s="4">
        <v>6.5</v>
      </c>
      <c r="G6" s="4"/>
      <c r="H6" s="4">
        <f t="shared" ref="H6:H53" si="4">I6-I5</f>
        <v>1.5</v>
      </c>
      <c r="I6" s="4">
        <f t="shared" si="0"/>
        <v>3.5</v>
      </c>
      <c r="J6" s="4"/>
      <c r="K6" s="4">
        <v>17</v>
      </c>
      <c r="L6" s="4">
        <f t="shared" ref="L6:L53" si="5">L5+K6</f>
        <v>42</v>
      </c>
      <c r="N6" s="4"/>
      <c r="O6" s="4"/>
      <c r="P6" s="4"/>
      <c r="Q6" s="4"/>
      <c r="R6" s="4"/>
      <c r="T6" s="27">
        <v>45906</v>
      </c>
      <c r="U6" s="24">
        <v>870</v>
      </c>
      <c r="V6" s="4">
        <v>1259.5</v>
      </c>
      <c r="W6" s="4">
        <f t="shared" ref="W6:X10" si="6">W5+U6</f>
        <v>3061</v>
      </c>
      <c r="X6" s="4">
        <f t="shared" si="6"/>
        <v>4721.7999999999993</v>
      </c>
      <c r="Y6" s="4">
        <f t="shared" si="1"/>
        <v>1.5425677883044755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M6" s="48"/>
      <c r="AN6" s="4" t="s">
        <v>61</v>
      </c>
      <c r="AO6" s="20">
        <v>12</v>
      </c>
      <c r="AP6" s="4">
        <v>2</v>
      </c>
      <c r="AQ6" s="20">
        <f t="shared" si="2"/>
        <v>24</v>
      </c>
      <c r="AR6" s="4"/>
      <c r="AS6" s="4"/>
    </row>
    <row r="7" spans="1:45" ht="41.25" customHeight="1" x14ac:dyDescent="0.2">
      <c r="A7" s="4">
        <v>4</v>
      </c>
      <c r="B7" s="10">
        <v>45868</v>
      </c>
      <c r="C7" s="4"/>
      <c r="D7" s="4"/>
      <c r="E7" s="4">
        <f>E6+C7+D7</f>
        <v>10</v>
      </c>
      <c r="F7" s="4">
        <v>4.5</v>
      </c>
      <c r="G7" s="4"/>
      <c r="H7" s="4">
        <f t="shared" si="4"/>
        <v>2</v>
      </c>
      <c r="I7" s="4">
        <f t="shared" si="0"/>
        <v>5.5</v>
      </c>
      <c r="J7" s="4"/>
      <c r="K7" s="4">
        <v>10</v>
      </c>
      <c r="L7" s="4">
        <f t="shared" si="5"/>
        <v>52</v>
      </c>
      <c r="N7" s="4"/>
      <c r="O7" s="4"/>
      <c r="P7" s="4"/>
      <c r="Q7" s="4"/>
      <c r="R7" s="4"/>
      <c r="T7" s="27">
        <v>45908</v>
      </c>
      <c r="U7" s="24">
        <v>238</v>
      </c>
      <c r="V7" s="4">
        <v>223.2</v>
      </c>
      <c r="W7" s="4">
        <f t="shared" si="6"/>
        <v>3299</v>
      </c>
      <c r="X7" s="4">
        <f t="shared" si="6"/>
        <v>4944.9999999999991</v>
      </c>
      <c r="Y7" s="4">
        <f t="shared" si="1"/>
        <v>1.4989390724461955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M7" s="48"/>
      <c r="AN7" s="4" t="s">
        <v>47</v>
      </c>
      <c r="AO7" s="20">
        <v>40</v>
      </c>
      <c r="AP7" s="4">
        <v>2</v>
      </c>
      <c r="AQ7" s="20">
        <f t="shared" si="2"/>
        <v>80</v>
      </c>
      <c r="AR7" s="4"/>
      <c r="AS7" s="4"/>
    </row>
    <row r="8" spans="1:45" ht="41.25" customHeight="1" x14ac:dyDescent="0.2">
      <c r="A8" s="4">
        <v>5</v>
      </c>
      <c r="B8" s="10">
        <v>45869</v>
      </c>
      <c r="C8" s="4"/>
      <c r="D8" s="4"/>
      <c r="E8" s="4">
        <f>E7+C8+D8</f>
        <v>10</v>
      </c>
      <c r="F8" s="4">
        <v>3</v>
      </c>
      <c r="G8" s="4"/>
      <c r="H8" s="4">
        <f t="shared" si="4"/>
        <v>1.5</v>
      </c>
      <c r="I8" s="4">
        <f t="shared" si="0"/>
        <v>7</v>
      </c>
      <c r="J8" s="4"/>
      <c r="K8" s="4">
        <v>7</v>
      </c>
      <c r="L8" s="4">
        <f t="shared" si="5"/>
        <v>59</v>
      </c>
      <c r="N8" s="4"/>
      <c r="O8" s="4"/>
      <c r="P8" s="4"/>
      <c r="Q8" s="4"/>
      <c r="T8" s="27"/>
      <c r="U8" s="24"/>
      <c r="V8" s="4"/>
      <c r="W8" s="4">
        <f t="shared" si="6"/>
        <v>3299</v>
      </c>
      <c r="X8" s="4">
        <f>X7+V8</f>
        <v>4944.9999999999991</v>
      </c>
      <c r="Y8" s="4">
        <f t="shared" si="1"/>
        <v>1.4989390724461955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21"/>
      <c r="AL8" s="28"/>
      <c r="AM8" s="21" t="s">
        <v>106</v>
      </c>
      <c r="AN8" s="21" t="s">
        <v>45</v>
      </c>
      <c r="AO8" s="21">
        <v>55</v>
      </c>
      <c r="AP8" s="4">
        <v>2</v>
      </c>
      <c r="AQ8" s="20">
        <f t="shared" si="2"/>
        <v>110</v>
      </c>
      <c r="AR8" s="4"/>
      <c r="AS8" s="4"/>
    </row>
    <row r="9" spans="1:45" ht="41.25" customHeight="1" x14ac:dyDescent="0.2">
      <c r="A9" s="4">
        <v>6</v>
      </c>
      <c r="B9" s="10">
        <v>45870</v>
      </c>
      <c r="C9" s="4">
        <v>10</v>
      </c>
      <c r="D9" s="4"/>
      <c r="E9" s="4">
        <f t="shared" si="3"/>
        <v>20</v>
      </c>
      <c r="F9" s="4">
        <v>11</v>
      </c>
      <c r="G9" s="4"/>
      <c r="H9" s="4">
        <f t="shared" si="4"/>
        <v>2</v>
      </c>
      <c r="I9" s="4">
        <f t="shared" si="0"/>
        <v>9</v>
      </c>
      <c r="J9" s="4"/>
      <c r="K9" s="4">
        <v>5</v>
      </c>
      <c r="L9" s="4">
        <f t="shared" si="5"/>
        <v>64</v>
      </c>
      <c r="N9" s="4"/>
      <c r="O9" s="4"/>
      <c r="P9" s="4"/>
      <c r="Q9" s="4"/>
      <c r="R9" s="4"/>
      <c r="T9" s="27"/>
      <c r="U9" s="24"/>
      <c r="V9" s="4"/>
      <c r="W9" s="4">
        <f t="shared" si="6"/>
        <v>3299</v>
      </c>
      <c r="X9" s="4">
        <f t="shared" si="6"/>
        <v>4944.9999999999991</v>
      </c>
      <c r="Y9" s="4">
        <f t="shared" si="1"/>
        <v>1.4989390724461955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21"/>
      <c r="AL9" s="28"/>
      <c r="AM9" s="21"/>
      <c r="AN9" s="21" t="s">
        <v>77</v>
      </c>
      <c r="AO9" s="21">
        <v>40</v>
      </c>
      <c r="AP9" s="4">
        <v>2</v>
      </c>
      <c r="AQ9" s="20">
        <f t="shared" si="2"/>
        <v>80</v>
      </c>
      <c r="AR9" s="4"/>
      <c r="AS9" s="4"/>
    </row>
    <row r="10" spans="1:45" ht="41.25" customHeight="1" x14ac:dyDescent="0.2">
      <c r="A10" s="4">
        <v>7</v>
      </c>
      <c r="B10" s="10">
        <v>45871</v>
      </c>
      <c r="C10" s="4"/>
      <c r="D10" s="4"/>
      <c r="E10" s="4">
        <f t="shared" si="3"/>
        <v>20</v>
      </c>
      <c r="F10" s="4">
        <v>8.5</v>
      </c>
      <c r="G10" s="4"/>
      <c r="H10" s="4">
        <f>I10-I9</f>
        <v>2.5</v>
      </c>
      <c r="I10" s="4">
        <f t="shared" si="0"/>
        <v>11.5</v>
      </c>
      <c r="J10" s="4"/>
      <c r="K10" s="4">
        <v>8</v>
      </c>
      <c r="L10" s="4">
        <f t="shared" si="5"/>
        <v>72</v>
      </c>
      <c r="N10" s="4"/>
      <c r="O10" s="4"/>
      <c r="P10" s="4"/>
      <c r="Q10" s="4"/>
      <c r="R10" s="4"/>
      <c r="T10" s="27">
        <v>45910</v>
      </c>
      <c r="U10" s="24"/>
      <c r="V10" s="4"/>
      <c r="W10" s="4">
        <f t="shared" si="6"/>
        <v>3299</v>
      </c>
      <c r="X10" s="4">
        <f t="shared" si="6"/>
        <v>4944.9999999999991</v>
      </c>
      <c r="Y10" s="4">
        <f t="shared" si="1"/>
        <v>1.4989390724461955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21"/>
      <c r="AL10" s="28"/>
      <c r="AM10" s="21"/>
      <c r="AN10" s="21" t="s">
        <v>58</v>
      </c>
      <c r="AO10" s="21">
        <v>16</v>
      </c>
      <c r="AP10" s="4">
        <v>2</v>
      </c>
      <c r="AQ10" s="20">
        <f t="shared" si="2"/>
        <v>32</v>
      </c>
      <c r="AR10" s="4"/>
      <c r="AS10" s="4"/>
    </row>
    <row r="11" spans="1:45" ht="41.25" customHeight="1" x14ac:dyDescent="0.2">
      <c r="A11" s="4">
        <v>8</v>
      </c>
      <c r="B11" s="10">
        <v>45872</v>
      </c>
      <c r="C11" s="4"/>
      <c r="D11" s="4"/>
      <c r="E11" s="4">
        <f t="shared" si="3"/>
        <v>20</v>
      </c>
      <c r="F11" s="4">
        <v>6</v>
      </c>
      <c r="G11" s="4"/>
      <c r="H11" s="4">
        <f t="shared" si="4"/>
        <v>2.5</v>
      </c>
      <c r="I11" s="4">
        <f t="shared" si="0"/>
        <v>14</v>
      </c>
      <c r="J11" s="4"/>
      <c r="K11" s="4">
        <v>2</v>
      </c>
      <c r="L11" s="4">
        <f t="shared" si="5"/>
        <v>74</v>
      </c>
      <c r="N11" s="4"/>
      <c r="O11" s="4"/>
      <c r="P11" s="4"/>
      <c r="Q11" s="4"/>
      <c r="R11" s="4"/>
      <c r="T11" s="27">
        <v>45911</v>
      </c>
      <c r="U11" s="24" t="s">
        <v>104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21"/>
      <c r="AL11" s="28"/>
      <c r="AM11" s="21"/>
      <c r="AN11" s="21" t="s">
        <v>47</v>
      </c>
      <c r="AO11" s="21">
        <v>50</v>
      </c>
      <c r="AP11" s="4">
        <v>2</v>
      </c>
      <c r="AQ11" s="20">
        <f t="shared" si="2"/>
        <v>100</v>
      </c>
      <c r="AR11" s="4"/>
      <c r="AS11" s="4"/>
    </row>
    <row r="12" spans="1:45" ht="41.25" customHeight="1" x14ac:dyDescent="0.2">
      <c r="A12" s="4">
        <v>9</v>
      </c>
      <c r="B12" s="10">
        <v>45873</v>
      </c>
      <c r="C12" s="4">
        <v>10</v>
      </c>
      <c r="D12" s="4"/>
      <c r="E12" s="4">
        <f t="shared" si="3"/>
        <v>30</v>
      </c>
      <c r="F12" s="4">
        <v>13.5</v>
      </c>
      <c r="G12" s="4"/>
      <c r="H12" s="4">
        <f t="shared" si="4"/>
        <v>2.5</v>
      </c>
      <c r="I12" s="4">
        <f t="shared" si="0"/>
        <v>16.5</v>
      </c>
      <c r="J12" s="4"/>
      <c r="K12" s="4">
        <v>8</v>
      </c>
      <c r="L12" s="4">
        <f t="shared" si="5"/>
        <v>82</v>
      </c>
      <c r="N12" s="4"/>
      <c r="O12" s="4"/>
      <c r="P12" s="4"/>
      <c r="Q12" s="4"/>
      <c r="R12" s="4"/>
      <c r="T12" s="23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21"/>
      <c r="AL12" s="28"/>
      <c r="AM12" s="52" t="s">
        <v>52</v>
      </c>
      <c r="AN12" s="21" t="s">
        <v>50</v>
      </c>
      <c r="AO12" s="21">
        <v>35</v>
      </c>
      <c r="AP12" s="4">
        <v>3</v>
      </c>
      <c r="AQ12" s="11">
        <f t="shared" si="2"/>
        <v>105</v>
      </c>
      <c r="AR12" s="4"/>
      <c r="AS12" s="4"/>
    </row>
    <row r="13" spans="1:45" ht="41.25" customHeight="1" x14ac:dyDescent="0.2">
      <c r="A13" s="4">
        <v>10</v>
      </c>
      <c r="B13" s="10">
        <v>45874</v>
      </c>
      <c r="C13" s="4"/>
      <c r="D13" s="4"/>
      <c r="E13" s="4">
        <f t="shared" si="3"/>
        <v>30</v>
      </c>
      <c r="F13" s="4">
        <v>10.5</v>
      </c>
      <c r="G13" s="4"/>
      <c r="H13" s="4">
        <f t="shared" si="4"/>
        <v>3</v>
      </c>
      <c r="I13" s="4">
        <f t="shared" si="0"/>
        <v>19.5</v>
      </c>
      <c r="J13" s="4"/>
      <c r="K13" s="4">
        <v>13</v>
      </c>
      <c r="L13" s="4">
        <f t="shared" si="5"/>
        <v>95</v>
      </c>
      <c r="N13" s="4"/>
      <c r="O13" s="4"/>
      <c r="P13" s="4"/>
      <c r="Q13" s="4"/>
      <c r="R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21"/>
      <c r="AL13" s="28"/>
      <c r="AM13" s="52"/>
      <c r="AN13" s="21" t="s">
        <v>51</v>
      </c>
      <c r="AO13" s="21">
        <v>25</v>
      </c>
      <c r="AP13" s="4">
        <v>3</v>
      </c>
      <c r="AQ13" s="11">
        <f t="shared" si="2"/>
        <v>75</v>
      </c>
      <c r="AR13" s="4"/>
      <c r="AS13" s="4"/>
    </row>
    <row r="14" spans="1:45" ht="41.25" customHeight="1" x14ac:dyDescent="0.2">
      <c r="A14" s="4">
        <v>11</v>
      </c>
      <c r="B14" s="10">
        <v>45875</v>
      </c>
      <c r="C14" s="4"/>
      <c r="D14" s="4"/>
      <c r="E14" s="4">
        <f t="shared" si="3"/>
        <v>30</v>
      </c>
      <c r="F14" s="4">
        <v>7</v>
      </c>
      <c r="G14" s="4"/>
      <c r="H14" s="4">
        <f t="shared" si="4"/>
        <v>3.5</v>
      </c>
      <c r="I14" s="4">
        <f t="shared" si="0"/>
        <v>23</v>
      </c>
      <c r="J14" s="4"/>
      <c r="K14" s="4">
        <v>12</v>
      </c>
      <c r="L14" s="4">
        <f t="shared" si="5"/>
        <v>107</v>
      </c>
      <c r="N14" s="4"/>
      <c r="O14" s="4"/>
      <c r="P14" s="4"/>
      <c r="Q14" s="4"/>
      <c r="R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21"/>
      <c r="AL14" s="28"/>
      <c r="AM14" s="52"/>
      <c r="AN14" s="21" t="s">
        <v>67</v>
      </c>
      <c r="AO14" s="21">
        <v>1</v>
      </c>
      <c r="AP14" s="4">
        <v>3</v>
      </c>
      <c r="AQ14" s="21">
        <f>AO14*AP14</f>
        <v>3</v>
      </c>
      <c r="AR14" s="4"/>
      <c r="AS14" s="4"/>
    </row>
    <row r="15" spans="1:45" ht="41.25" customHeight="1" x14ac:dyDescent="0.2">
      <c r="A15" s="4">
        <v>12</v>
      </c>
      <c r="B15" s="10">
        <v>45876</v>
      </c>
      <c r="C15" s="4">
        <v>10</v>
      </c>
      <c r="D15" s="4"/>
      <c r="E15" s="4">
        <f t="shared" si="3"/>
        <v>40</v>
      </c>
      <c r="F15" s="4">
        <v>14</v>
      </c>
      <c r="G15" s="4"/>
      <c r="H15" s="4">
        <f t="shared" si="4"/>
        <v>3</v>
      </c>
      <c r="I15" s="4">
        <f t="shared" si="0"/>
        <v>26</v>
      </c>
      <c r="J15" s="4"/>
      <c r="K15" s="4">
        <v>15</v>
      </c>
      <c r="L15" s="4">
        <f t="shared" si="5"/>
        <v>122</v>
      </c>
      <c r="N15" s="4"/>
      <c r="O15" s="4"/>
      <c r="P15" s="4"/>
      <c r="Q15" s="4"/>
      <c r="R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21"/>
      <c r="AL15" s="28"/>
      <c r="AM15" s="52"/>
      <c r="AN15" s="21" t="s">
        <v>48</v>
      </c>
      <c r="AO15" s="11">
        <v>40</v>
      </c>
      <c r="AP15" s="4">
        <v>3</v>
      </c>
      <c r="AQ15" s="11">
        <f>AO15*AP15</f>
        <v>120</v>
      </c>
      <c r="AR15" s="4"/>
      <c r="AS15" s="4"/>
    </row>
    <row r="16" spans="1:45" ht="41.25" customHeight="1" x14ac:dyDescent="0.2">
      <c r="A16" s="4">
        <v>13</v>
      </c>
      <c r="B16" s="10">
        <v>45877</v>
      </c>
      <c r="C16" s="4"/>
      <c r="D16" s="4"/>
      <c r="E16" s="4">
        <f t="shared" si="3"/>
        <v>40</v>
      </c>
      <c r="F16" s="4">
        <v>9.5</v>
      </c>
      <c r="G16" s="4"/>
      <c r="H16" s="4">
        <f t="shared" si="4"/>
        <v>4.5</v>
      </c>
      <c r="I16" s="4">
        <f t="shared" si="0"/>
        <v>30.5</v>
      </c>
      <c r="J16" s="4"/>
      <c r="K16" s="4">
        <v>31</v>
      </c>
      <c r="L16" s="4">
        <f t="shared" si="5"/>
        <v>153</v>
      </c>
      <c r="N16" s="4"/>
      <c r="O16" s="4"/>
      <c r="P16" s="4"/>
      <c r="Q16" s="4"/>
      <c r="R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21"/>
      <c r="AL16" s="28"/>
      <c r="AM16" s="4" t="s">
        <v>83</v>
      </c>
      <c r="AN16" s="4" t="s">
        <v>136</v>
      </c>
      <c r="AO16" s="20">
        <v>100</v>
      </c>
      <c r="AP16" s="4">
        <v>2</v>
      </c>
      <c r="AQ16" s="20">
        <f t="shared" ref="AQ16" si="7">AO16*AP16</f>
        <v>200</v>
      </c>
      <c r="AR16" s="4"/>
      <c r="AS16" s="4"/>
    </row>
    <row r="17" spans="1:45" ht="41.25" customHeight="1" x14ac:dyDescent="0.2">
      <c r="A17" s="4">
        <v>14</v>
      </c>
      <c r="B17" s="10">
        <v>45878</v>
      </c>
      <c r="C17" s="4"/>
      <c r="D17" s="4"/>
      <c r="E17" s="4">
        <f t="shared" si="3"/>
        <v>40</v>
      </c>
      <c r="F17" s="4">
        <v>5.5</v>
      </c>
      <c r="G17" s="4"/>
      <c r="H17" s="4">
        <f t="shared" si="4"/>
        <v>4</v>
      </c>
      <c r="I17" s="4">
        <f t="shared" si="0"/>
        <v>34.5</v>
      </c>
      <c r="J17" s="4"/>
      <c r="K17" s="4">
        <v>25</v>
      </c>
      <c r="L17" s="4">
        <f t="shared" si="5"/>
        <v>178</v>
      </c>
      <c r="N17" s="4"/>
      <c r="O17" s="4"/>
      <c r="P17" s="4"/>
      <c r="Q17" s="4"/>
      <c r="R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21"/>
      <c r="AL17" s="28"/>
      <c r="AM17" s="53">
        <v>10</v>
      </c>
      <c r="AN17" s="21" t="s">
        <v>84</v>
      </c>
      <c r="AO17" s="20">
        <v>175</v>
      </c>
      <c r="AP17" s="4">
        <v>1</v>
      </c>
      <c r="AQ17" s="20">
        <f t="shared" ref="AQ17:AQ28" si="8">AO17*AP17</f>
        <v>175</v>
      </c>
      <c r="AR17" s="4"/>
      <c r="AS17" s="4"/>
    </row>
    <row r="18" spans="1:45" ht="41.25" customHeight="1" x14ac:dyDescent="0.2">
      <c r="A18" s="4">
        <v>15</v>
      </c>
      <c r="B18" s="10">
        <v>45879</v>
      </c>
      <c r="C18" s="4">
        <v>10</v>
      </c>
      <c r="D18" s="4"/>
      <c r="E18" s="4">
        <f t="shared" si="3"/>
        <v>50</v>
      </c>
      <c r="F18" s="4">
        <v>12</v>
      </c>
      <c r="G18" s="4"/>
      <c r="H18" s="4">
        <f t="shared" si="4"/>
        <v>3.5</v>
      </c>
      <c r="I18" s="4">
        <f t="shared" si="0"/>
        <v>38</v>
      </c>
      <c r="J18" s="4"/>
      <c r="K18" s="4">
        <v>22</v>
      </c>
      <c r="L18" s="4">
        <f t="shared" si="5"/>
        <v>200</v>
      </c>
      <c r="N18" s="4"/>
      <c r="O18" s="4"/>
      <c r="P18" s="4"/>
      <c r="Q18" s="4"/>
      <c r="R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21"/>
      <c r="AL18" s="28"/>
      <c r="AM18" s="53"/>
      <c r="AN18" s="21" t="s">
        <v>85</v>
      </c>
      <c r="AO18" s="25">
        <v>1</v>
      </c>
      <c r="AP18" s="4">
        <v>1</v>
      </c>
      <c r="AQ18" s="25">
        <f t="shared" si="8"/>
        <v>1</v>
      </c>
      <c r="AR18" s="4"/>
      <c r="AS18" s="4"/>
    </row>
    <row r="19" spans="1:45" ht="41.25" customHeight="1" x14ac:dyDescent="0.2">
      <c r="A19" s="4">
        <v>16</v>
      </c>
      <c r="B19" s="10">
        <v>45880</v>
      </c>
      <c r="C19" s="4"/>
      <c r="D19" s="4"/>
      <c r="E19" s="4">
        <f t="shared" si="3"/>
        <v>50</v>
      </c>
      <c r="F19" s="4">
        <v>7</v>
      </c>
      <c r="G19" s="4"/>
      <c r="H19" s="4">
        <f t="shared" si="4"/>
        <v>5</v>
      </c>
      <c r="I19" s="4">
        <f t="shared" si="0"/>
        <v>43</v>
      </c>
      <c r="J19" s="4"/>
      <c r="K19" s="4">
        <v>17</v>
      </c>
      <c r="L19" s="4">
        <f t="shared" si="5"/>
        <v>217</v>
      </c>
      <c r="N19" s="4"/>
      <c r="O19" s="4"/>
      <c r="P19" s="4"/>
      <c r="Q19" s="4"/>
      <c r="R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21"/>
      <c r="AL19" s="28"/>
      <c r="AM19" s="53"/>
      <c r="AN19" s="21" t="s">
        <v>67</v>
      </c>
      <c r="AO19" s="21">
        <v>2</v>
      </c>
      <c r="AP19" s="4">
        <v>1</v>
      </c>
      <c r="AQ19" s="21">
        <f t="shared" si="8"/>
        <v>2</v>
      </c>
      <c r="AR19" s="4"/>
      <c r="AS19" s="4"/>
    </row>
    <row r="20" spans="1:45" ht="41.25" customHeight="1" x14ac:dyDescent="0.2">
      <c r="A20" s="4">
        <v>17</v>
      </c>
      <c r="B20" s="10">
        <v>45881</v>
      </c>
      <c r="C20" s="4">
        <v>15</v>
      </c>
      <c r="D20" s="4"/>
      <c r="E20" s="4">
        <f>E19+C20+D20</f>
        <v>65</v>
      </c>
      <c r="F20" s="4">
        <v>16.5</v>
      </c>
      <c r="G20" s="4"/>
      <c r="H20" s="4">
        <f t="shared" si="4"/>
        <v>5.5</v>
      </c>
      <c r="I20" s="4">
        <f t="shared" si="0"/>
        <v>48.5</v>
      </c>
      <c r="J20" s="4"/>
      <c r="K20" s="4">
        <v>13</v>
      </c>
      <c r="L20" s="4">
        <f t="shared" si="5"/>
        <v>230</v>
      </c>
      <c r="N20" s="4"/>
      <c r="O20" s="4"/>
      <c r="P20" s="4"/>
      <c r="Q20" s="4"/>
      <c r="R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M20" s="53"/>
      <c r="AN20" s="21" t="s">
        <v>48</v>
      </c>
      <c r="AO20" s="11">
        <v>90</v>
      </c>
      <c r="AP20" s="4">
        <v>1</v>
      </c>
      <c r="AQ20" s="11">
        <f t="shared" si="8"/>
        <v>90</v>
      </c>
      <c r="AR20" s="4"/>
      <c r="AS20" s="4"/>
    </row>
    <row r="21" spans="1:45" ht="41.25" customHeight="1" x14ac:dyDescent="0.2">
      <c r="A21" s="4">
        <v>18</v>
      </c>
      <c r="B21" s="10">
        <v>45882</v>
      </c>
      <c r="D21" s="4"/>
      <c r="E21" s="4">
        <f>E20+D21+C21</f>
        <v>65</v>
      </c>
      <c r="F21" s="4">
        <v>10.5</v>
      </c>
      <c r="G21" s="4"/>
      <c r="H21" s="4">
        <f t="shared" si="4"/>
        <v>6</v>
      </c>
      <c r="I21" s="4">
        <f t="shared" si="0"/>
        <v>54.5</v>
      </c>
      <c r="J21" s="4"/>
      <c r="K21" s="4">
        <v>13</v>
      </c>
      <c r="L21" s="4">
        <f t="shared" si="5"/>
        <v>243</v>
      </c>
      <c r="N21" s="4"/>
      <c r="O21" s="4"/>
      <c r="P21" s="4"/>
      <c r="Q21" s="4"/>
      <c r="R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M21" s="48">
        <v>11</v>
      </c>
      <c r="AN21" s="4" t="s">
        <v>84</v>
      </c>
      <c r="AO21" s="20">
        <v>175</v>
      </c>
      <c r="AP21" s="4">
        <v>1</v>
      </c>
      <c r="AQ21" s="20">
        <f t="shared" si="8"/>
        <v>175</v>
      </c>
      <c r="AR21" s="4"/>
      <c r="AS21" s="4"/>
    </row>
    <row r="22" spans="1:45" ht="41.25" customHeight="1" x14ac:dyDescent="0.2">
      <c r="A22" s="4">
        <v>19</v>
      </c>
      <c r="B22" s="10">
        <v>45883</v>
      </c>
      <c r="C22" s="4">
        <v>15</v>
      </c>
      <c r="D22" s="4"/>
      <c r="E22" s="4">
        <f t="shared" si="3"/>
        <v>80</v>
      </c>
      <c r="F22" s="4">
        <v>19</v>
      </c>
      <c r="G22" s="4"/>
      <c r="H22" s="4">
        <f t="shared" si="4"/>
        <v>6.5</v>
      </c>
      <c r="I22" s="4">
        <f t="shared" si="0"/>
        <v>61</v>
      </c>
      <c r="J22" s="4"/>
      <c r="K22" s="4">
        <v>10</v>
      </c>
      <c r="L22" s="4">
        <f t="shared" si="5"/>
        <v>253</v>
      </c>
      <c r="N22" s="4"/>
      <c r="O22" s="4"/>
      <c r="P22" s="4"/>
      <c r="Q22" s="4"/>
      <c r="R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M22" s="48"/>
      <c r="AN22" s="4" t="s">
        <v>85</v>
      </c>
      <c r="AO22" s="4">
        <v>1</v>
      </c>
      <c r="AP22" s="4">
        <v>1</v>
      </c>
      <c r="AQ22" s="4">
        <f t="shared" si="8"/>
        <v>1</v>
      </c>
      <c r="AR22" s="4"/>
      <c r="AS22" s="4"/>
    </row>
    <row r="23" spans="1:45" ht="41.25" customHeight="1" x14ac:dyDescent="0.2">
      <c r="A23" s="4">
        <v>20</v>
      </c>
      <c r="B23" s="10">
        <v>45884</v>
      </c>
      <c r="C23" s="4"/>
      <c r="D23" s="4"/>
      <c r="E23" s="4">
        <f t="shared" si="3"/>
        <v>80</v>
      </c>
      <c r="F23" s="4">
        <v>12</v>
      </c>
      <c r="G23" s="4"/>
      <c r="H23" s="4">
        <f t="shared" si="4"/>
        <v>7</v>
      </c>
      <c r="I23" s="4">
        <f t="shared" si="0"/>
        <v>68</v>
      </c>
      <c r="J23" s="4"/>
      <c r="K23" s="4">
        <v>3</v>
      </c>
      <c r="L23" s="4">
        <f t="shared" si="5"/>
        <v>256</v>
      </c>
      <c r="N23" s="4"/>
      <c r="O23" s="4"/>
      <c r="P23" s="4"/>
      <c r="Q23" s="4"/>
      <c r="R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M23" s="48"/>
      <c r="AN23" s="4" t="s">
        <v>62</v>
      </c>
      <c r="AO23" s="4">
        <v>4</v>
      </c>
      <c r="AP23" s="4">
        <v>1</v>
      </c>
      <c r="AQ23" s="4">
        <f t="shared" si="8"/>
        <v>4</v>
      </c>
      <c r="AR23" s="4"/>
      <c r="AS23" s="4"/>
    </row>
    <row r="24" spans="1:45" ht="41.25" customHeight="1" x14ac:dyDescent="0.2">
      <c r="A24" s="4">
        <v>21</v>
      </c>
      <c r="B24" s="10">
        <v>45885</v>
      </c>
      <c r="C24" s="4">
        <v>15</v>
      </c>
      <c r="D24" s="4"/>
      <c r="E24" s="4">
        <f t="shared" si="3"/>
        <v>95</v>
      </c>
      <c r="F24" s="4">
        <v>19.5</v>
      </c>
      <c r="G24" s="4"/>
      <c r="H24" s="4">
        <f t="shared" si="4"/>
        <v>7.5</v>
      </c>
      <c r="I24" s="4">
        <f t="shared" si="0"/>
        <v>75.5</v>
      </c>
      <c r="J24" s="4"/>
      <c r="K24" s="4">
        <v>6</v>
      </c>
      <c r="L24" s="4">
        <f t="shared" si="5"/>
        <v>262</v>
      </c>
      <c r="N24" s="4"/>
      <c r="O24" s="4"/>
      <c r="P24" s="4"/>
      <c r="Q24" s="4"/>
      <c r="R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M24" s="48"/>
      <c r="AN24" s="4" t="s">
        <v>63</v>
      </c>
      <c r="AO24" s="11">
        <v>150</v>
      </c>
      <c r="AP24" s="4">
        <v>1</v>
      </c>
      <c r="AQ24" s="11">
        <f t="shared" si="8"/>
        <v>150</v>
      </c>
      <c r="AR24" s="4"/>
      <c r="AS24" s="4"/>
    </row>
    <row r="25" spans="1:45" ht="41.25" customHeight="1" x14ac:dyDescent="0.2">
      <c r="A25" s="4">
        <v>22</v>
      </c>
      <c r="B25" s="10">
        <v>45886</v>
      </c>
      <c r="C25" s="4"/>
      <c r="D25" s="4"/>
      <c r="E25" s="4">
        <f t="shared" si="3"/>
        <v>95</v>
      </c>
      <c r="F25" s="4">
        <v>12.5</v>
      </c>
      <c r="G25" s="4"/>
      <c r="H25" s="4">
        <f t="shared" si="4"/>
        <v>7</v>
      </c>
      <c r="I25" s="4">
        <f t="shared" si="0"/>
        <v>82.5</v>
      </c>
      <c r="J25" s="4"/>
      <c r="K25" s="4">
        <v>8</v>
      </c>
      <c r="L25" s="4">
        <f t="shared" si="5"/>
        <v>270</v>
      </c>
      <c r="N25" s="4"/>
      <c r="O25" s="4"/>
      <c r="P25" s="4"/>
      <c r="Q25" s="4"/>
      <c r="R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M25" s="48">
        <v>12</v>
      </c>
      <c r="AN25" s="4" t="s">
        <v>84</v>
      </c>
      <c r="AO25" s="20">
        <v>200</v>
      </c>
      <c r="AP25" s="4">
        <v>1</v>
      </c>
      <c r="AQ25" s="20">
        <f t="shared" si="8"/>
        <v>200</v>
      </c>
      <c r="AR25" s="4"/>
      <c r="AS25" s="4"/>
    </row>
    <row r="26" spans="1:45" ht="41.25" customHeight="1" x14ac:dyDescent="0.2">
      <c r="A26" s="4">
        <v>23</v>
      </c>
      <c r="B26" s="10">
        <v>45887</v>
      </c>
      <c r="C26" s="4"/>
      <c r="D26" s="4"/>
      <c r="E26" s="4">
        <f t="shared" si="3"/>
        <v>95</v>
      </c>
      <c r="F26" s="4">
        <v>6</v>
      </c>
      <c r="G26" s="4"/>
      <c r="H26" s="4">
        <f t="shared" si="4"/>
        <v>6.5</v>
      </c>
      <c r="I26" s="4">
        <f t="shared" si="0"/>
        <v>89</v>
      </c>
      <c r="J26" s="4"/>
      <c r="K26" s="4">
        <v>7</v>
      </c>
      <c r="L26" s="4">
        <f t="shared" si="5"/>
        <v>277</v>
      </c>
      <c r="N26" s="4"/>
      <c r="O26" s="4"/>
      <c r="P26" s="4"/>
      <c r="Q26" s="4"/>
      <c r="R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M26" s="48"/>
      <c r="AN26" s="4" t="s">
        <v>85</v>
      </c>
      <c r="AO26" s="4">
        <v>1</v>
      </c>
      <c r="AP26" s="4">
        <v>1</v>
      </c>
      <c r="AQ26" s="4">
        <f t="shared" si="8"/>
        <v>1</v>
      </c>
      <c r="AR26" s="4"/>
      <c r="AS26" s="4"/>
    </row>
    <row r="27" spans="1:45" ht="41.25" customHeight="1" x14ac:dyDescent="0.2">
      <c r="A27" s="4">
        <v>24</v>
      </c>
      <c r="B27" s="10">
        <v>45888</v>
      </c>
      <c r="C27" s="4">
        <v>15</v>
      </c>
      <c r="D27" s="4"/>
      <c r="E27" s="4">
        <f t="shared" si="3"/>
        <v>110</v>
      </c>
      <c r="F27" s="4">
        <v>13.5</v>
      </c>
      <c r="G27" s="4"/>
      <c r="H27" s="4">
        <f t="shared" si="4"/>
        <v>7.5</v>
      </c>
      <c r="I27" s="4">
        <f t="shared" si="0"/>
        <v>96.5</v>
      </c>
      <c r="J27" s="4"/>
      <c r="K27" s="4">
        <v>7</v>
      </c>
      <c r="L27" s="4">
        <f t="shared" si="5"/>
        <v>284</v>
      </c>
      <c r="N27" s="4"/>
      <c r="O27" s="4"/>
      <c r="P27" s="4"/>
      <c r="Q27" s="4"/>
      <c r="R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M27" s="48"/>
      <c r="AN27" s="4" t="s">
        <v>67</v>
      </c>
      <c r="AO27" s="21">
        <v>2</v>
      </c>
      <c r="AP27" s="4">
        <v>1</v>
      </c>
      <c r="AQ27" s="21">
        <f t="shared" si="8"/>
        <v>2</v>
      </c>
      <c r="AR27" s="4"/>
      <c r="AS27" s="4"/>
    </row>
    <row r="28" spans="1:45" ht="41.25" customHeight="1" x14ac:dyDescent="0.2">
      <c r="A28" s="4">
        <v>25</v>
      </c>
      <c r="B28" s="10">
        <v>45889</v>
      </c>
      <c r="C28" s="4"/>
      <c r="D28" s="4"/>
      <c r="E28" s="4">
        <f t="shared" si="3"/>
        <v>110</v>
      </c>
      <c r="F28" s="4">
        <v>6.5</v>
      </c>
      <c r="G28" s="4"/>
      <c r="H28" s="4">
        <f t="shared" si="4"/>
        <v>7</v>
      </c>
      <c r="I28" s="4">
        <f t="shared" si="0"/>
        <v>103.5</v>
      </c>
      <c r="J28" s="4"/>
      <c r="K28" s="4">
        <v>13</v>
      </c>
      <c r="L28" s="4">
        <f t="shared" si="5"/>
        <v>297</v>
      </c>
      <c r="N28" s="4"/>
      <c r="O28" s="4"/>
      <c r="P28" s="4"/>
      <c r="Q28" s="4"/>
      <c r="R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M28" s="48"/>
      <c r="AN28" s="11" t="s">
        <v>48</v>
      </c>
      <c r="AO28" s="11">
        <v>100</v>
      </c>
      <c r="AP28" s="4">
        <v>1</v>
      </c>
      <c r="AQ28" s="11">
        <f t="shared" si="8"/>
        <v>100</v>
      </c>
      <c r="AR28" s="4"/>
      <c r="AS28" s="4"/>
    </row>
    <row r="29" spans="1:45" ht="41.25" customHeight="1" x14ac:dyDescent="0.2">
      <c r="A29" s="4">
        <v>26</v>
      </c>
      <c r="B29" s="10">
        <v>45890</v>
      </c>
      <c r="C29" s="4">
        <v>10</v>
      </c>
      <c r="D29" s="4">
        <v>5</v>
      </c>
      <c r="E29" s="4">
        <f t="shared" si="3"/>
        <v>125</v>
      </c>
      <c r="F29" s="4">
        <v>9</v>
      </c>
      <c r="G29" s="4">
        <v>5</v>
      </c>
      <c r="H29" s="4">
        <f t="shared" si="4"/>
        <v>7.5</v>
      </c>
      <c r="I29" s="4">
        <f t="shared" si="0"/>
        <v>111</v>
      </c>
      <c r="J29" s="4"/>
      <c r="K29" s="4">
        <v>10</v>
      </c>
      <c r="L29" s="4">
        <f t="shared" si="5"/>
        <v>307</v>
      </c>
      <c r="N29" s="4"/>
      <c r="O29" s="4"/>
      <c r="P29" s="4"/>
      <c r="Q29" s="4"/>
      <c r="R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M29" s="48" t="s">
        <v>107</v>
      </c>
      <c r="AN29" s="4" t="s">
        <v>45</v>
      </c>
      <c r="AO29" s="20">
        <v>150</v>
      </c>
      <c r="AP29" s="4">
        <v>3</v>
      </c>
      <c r="AQ29" s="20">
        <f t="shared" ref="AQ29:AQ31" si="9">AO29*AP29</f>
        <v>450</v>
      </c>
      <c r="AR29" s="4"/>
      <c r="AS29" s="4"/>
    </row>
    <row r="30" spans="1:45" ht="41.25" customHeight="1" x14ac:dyDescent="0.2">
      <c r="A30" s="4">
        <v>27</v>
      </c>
      <c r="B30" s="10">
        <v>45891</v>
      </c>
      <c r="C30" s="4">
        <v>20</v>
      </c>
      <c r="D30" s="4"/>
      <c r="E30" s="4">
        <f t="shared" si="3"/>
        <v>145</v>
      </c>
      <c r="F30" s="4">
        <v>24</v>
      </c>
      <c r="G30" s="4">
        <v>2</v>
      </c>
      <c r="H30" s="4">
        <f t="shared" si="4"/>
        <v>8</v>
      </c>
      <c r="I30" s="4">
        <f t="shared" si="0"/>
        <v>119</v>
      </c>
      <c r="J30" s="4"/>
      <c r="K30" s="4">
        <v>14</v>
      </c>
      <c r="L30" s="4">
        <f t="shared" si="5"/>
        <v>321</v>
      </c>
      <c r="N30" s="4"/>
      <c r="O30" s="4"/>
      <c r="P30" s="4"/>
      <c r="Q30" s="4"/>
      <c r="R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M30" s="48"/>
      <c r="AN30" s="4" t="s">
        <v>77</v>
      </c>
      <c r="AO30" s="20">
        <v>130</v>
      </c>
      <c r="AP30" s="4">
        <v>3</v>
      </c>
      <c r="AQ30" s="20">
        <f t="shared" si="9"/>
        <v>390</v>
      </c>
      <c r="AR30" s="4"/>
      <c r="AS30" s="4"/>
    </row>
    <row r="31" spans="1:45" ht="41.25" customHeight="1" x14ac:dyDescent="0.2">
      <c r="A31" s="4">
        <v>28</v>
      </c>
      <c r="B31" s="10">
        <v>45892</v>
      </c>
      <c r="C31" s="4"/>
      <c r="D31" s="4"/>
      <c r="E31" s="4">
        <f t="shared" si="3"/>
        <v>145</v>
      </c>
      <c r="F31" s="4">
        <v>17.5</v>
      </c>
      <c r="G31" s="4"/>
      <c r="H31" s="4">
        <f t="shared" si="4"/>
        <v>8.5</v>
      </c>
      <c r="I31" s="4">
        <f t="shared" si="0"/>
        <v>127.5</v>
      </c>
      <c r="J31" s="4"/>
      <c r="K31" s="4">
        <v>12</v>
      </c>
      <c r="L31" s="4">
        <f t="shared" si="5"/>
        <v>333</v>
      </c>
      <c r="N31" s="4"/>
      <c r="O31" s="4"/>
      <c r="P31" s="4"/>
      <c r="Q31" s="4"/>
      <c r="R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M31" s="48"/>
      <c r="AN31" s="4" t="s">
        <v>47</v>
      </c>
      <c r="AO31" s="20">
        <v>180</v>
      </c>
      <c r="AP31" s="4">
        <v>3</v>
      </c>
      <c r="AQ31" s="20">
        <f t="shared" si="9"/>
        <v>540</v>
      </c>
      <c r="AR31" s="4"/>
      <c r="AS31" s="4"/>
    </row>
    <row r="32" spans="1:45" ht="41.25" customHeight="1" x14ac:dyDescent="0.2">
      <c r="A32" s="4">
        <v>29</v>
      </c>
      <c r="B32" s="10">
        <v>45893</v>
      </c>
      <c r="C32" s="4">
        <v>20</v>
      </c>
      <c r="D32" s="4"/>
      <c r="E32" s="4">
        <f t="shared" si="3"/>
        <v>165</v>
      </c>
      <c r="F32" s="4">
        <v>28</v>
      </c>
      <c r="G32" s="4"/>
      <c r="H32" s="4">
        <f t="shared" si="4"/>
        <v>9.5</v>
      </c>
      <c r="I32" s="4">
        <f t="shared" si="0"/>
        <v>137</v>
      </c>
      <c r="J32" s="4"/>
      <c r="K32" s="4">
        <v>18</v>
      </c>
      <c r="L32" s="4">
        <f t="shared" si="5"/>
        <v>351</v>
      </c>
      <c r="N32" s="4"/>
      <c r="O32" s="4"/>
      <c r="P32" s="4"/>
      <c r="Q32" s="4"/>
      <c r="R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M32" s="48">
        <v>18</v>
      </c>
      <c r="AN32" s="4" t="s">
        <v>84</v>
      </c>
      <c r="AO32" s="20">
        <v>300</v>
      </c>
      <c r="AP32" s="4">
        <v>1</v>
      </c>
      <c r="AQ32" s="20">
        <f>AO32*AP32</f>
        <v>300</v>
      </c>
      <c r="AR32" s="4"/>
      <c r="AS32" s="4"/>
    </row>
    <row r="33" spans="1:45" ht="41.25" customHeight="1" x14ac:dyDescent="0.2">
      <c r="A33" s="4">
        <v>30</v>
      </c>
      <c r="B33" s="10">
        <v>45894</v>
      </c>
      <c r="C33" s="4"/>
      <c r="D33" s="4"/>
      <c r="E33" s="4">
        <f t="shared" si="3"/>
        <v>165</v>
      </c>
      <c r="F33" s="4">
        <v>19</v>
      </c>
      <c r="G33" s="4"/>
      <c r="H33" s="4">
        <f t="shared" si="4"/>
        <v>9</v>
      </c>
      <c r="I33" s="4">
        <f t="shared" si="0"/>
        <v>146</v>
      </c>
      <c r="J33" s="4"/>
      <c r="K33" s="4">
        <v>10</v>
      </c>
      <c r="L33" s="4">
        <f t="shared" si="5"/>
        <v>361</v>
      </c>
      <c r="N33" s="4"/>
      <c r="O33" s="4"/>
      <c r="P33" s="4"/>
      <c r="Q33" s="4"/>
      <c r="R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M33" s="48"/>
      <c r="AN33" s="4" t="s">
        <v>85</v>
      </c>
      <c r="AO33" s="4">
        <v>1.5</v>
      </c>
      <c r="AP33" s="4">
        <v>1</v>
      </c>
      <c r="AQ33" s="4">
        <f>AO33*AP33</f>
        <v>1.5</v>
      </c>
      <c r="AR33" s="4"/>
      <c r="AS33" s="4"/>
    </row>
    <row r="34" spans="1:45" ht="41.25" customHeight="1" x14ac:dyDescent="0.2">
      <c r="A34" s="4">
        <v>31</v>
      </c>
      <c r="B34" s="10">
        <v>45895</v>
      </c>
      <c r="C34" s="4">
        <v>10</v>
      </c>
      <c r="D34" s="4"/>
      <c r="E34" s="4">
        <f t="shared" si="3"/>
        <v>175</v>
      </c>
      <c r="F34" s="4">
        <v>20</v>
      </c>
      <c r="G34" s="4"/>
      <c r="H34" s="4">
        <f t="shared" si="4"/>
        <v>9</v>
      </c>
      <c r="I34" s="4">
        <f t="shared" si="0"/>
        <v>155</v>
      </c>
      <c r="J34" s="4"/>
      <c r="K34" s="4">
        <v>11</v>
      </c>
      <c r="L34" s="4">
        <f t="shared" si="5"/>
        <v>372</v>
      </c>
      <c r="N34" s="4"/>
      <c r="O34" s="4"/>
      <c r="P34" s="4"/>
      <c r="Q34" s="4"/>
      <c r="R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M34" s="48"/>
      <c r="AN34" s="4" t="s">
        <v>67</v>
      </c>
      <c r="AO34" s="21">
        <v>2</v>
      </c>
      <c r="AP34" s="4">
        <v>1</v>
      </c>
      <c r="AQ34" s="21">
        <f>AO34*AP34</f>
        <v>2</v>
      </c>
      <c r="AR34" s="4"/>
      <c r="AS34" s="4"/>
    </row>
    <row r="35" spans="1:45" ht="41.25" customHeight="1" x14ac:dyDescent="0.2">
      <c r="A35" s="4">
        <v>32</v>
      </c>
      <c r="B35" s="10">
        <v>45896</v>
      </c>
      <c r="C35" s="4">
        <v>5</v>
      </c>
      <c r="D35" s="4">
        <v>6</v>
      </c>
      <c r="E35" s="4">
        <f t="shared" si="3"/>
        <v>186</v>
      </c>
      <c r="F35" s="4">
        <v>17</v>
      </c>
      <c r="G35" s="4">
        <v>4</v>
      </c>
      <c r="H35" s="4">
        <f t="shared" si="4"/>
        <v>10</v>
      </c>
      <c r="I35" s="4">
        <f t="shared" si="0"/>
        <v>165</v>
      </c>
      <c r="J35" s="4"/>
      <c r="K35" s="4">
        <v>8</v>
      </c>
      <c r="L35" s="4">
        <f t="shared" si="5"/>
        <v>380</v>
      </c>
      <c r="N35" s="4"/>
      <c r="O35" s="4"/>
      <c r="P35" s="4"/>
      <c r="Q35" s="4"/>
      <c r="R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M35" s="48"/>
      <c r="AN35" s="4" t="s">
        <v>48</v>
      </c>
      <c r="AO35" s="11">
        <v>125</v>
      </c>
      <c r="AP35" s="4">
        <v>1</v>
      </c>
      <c r="AQ35" s="11">
        <f>AO35*AP35</f>
        <v>125</v>
      </c>
      <c r="AR35" s="4"/>
      <c r="AS35" s="4"/>
    </row>
    <row r="36" spans="1:45" ht="41.25" customHeight="1" x14ac:dyDescent="0.2">
      <c r="A36" s="4">
        <v>33</v>
      </c>
      <c r="B36" s="10">
        <v>45897</v>
      </c>
      <c r="C36" s="4"/>
      <c r="D36" s="4"/>
      <c r="E36" s="4">
        <f t="shared" si="3"/>
        <v>186</v>
      </c>
      <c r="F36" s="4">
        <v>10</v>
      </c>
      <c r="G36" s="4">
        <v>2</v>
      </c>
      <c r="H36" s="4">
        <f t="shared" si="4"/>
        <v>9</v>
      </c>
      <c r="I36" s="4">
        <f t="shared" si="0"/>
        <v>174</v>
      </c>
      <c r="J36" s="4"/>
      <c r="K36" s="4">
        <v>4</v>
      </c>
      <c r="L36" s="4">
        <f t="shared" si="5"/>
        <v>384</v>
      </c>
      <c r="N36" s="4"/>
      <c r="O36" s="4"/>
      <c r="P36" s="4"/>
      <c r="Q36" s="4"/>
      <c r="R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M36" s="48">
        <v>19</v>
      </c>
      <c r="AN36" s="4" t="s">
        <v>84</v>
      </c>
      <c r="AO36" s="20">
        <v>300</v>
      </c>
      <c r="AP36" s="4">
        <v>1</v>
      </c>
      <c r="AQ36" s="20">
        <f t="shared" ref="AQ36:AQ37" si="10">AO36*AP36</f>
        <v>300</v>
      </c>
      <c r="AR36" s="4"/>
      <c r="AS36" s="4"/>
    </row>
    <row r="37" spans="1:45" ht="41.25" customHeight="1" x14ac:dyDescent="0.2">
      <c r="A37" s="4">
        <v>34</v>
      </c>
      <c r="B37" s="10">
        <v>45898</v>
      </c>
      <c r="C37" s="4">
        <v>10</v>
      </c>
      <c r="D37" s="4">
        <v>5</v>
      </c>
      <c r="E37" s="4">
        <f t="shared" si="3"/>
        <v>201</v>
      </c>
      <c r="F37" s="4">
        <v>12.5</v>
      </c>
      <c r="G37" s="4">
        <v>5</v>
      </c>
      <c r="H37" s="4">
        <f t="shared" si="4"/>
        <v>9.5</v>
      </c>
      <c r="I37" s="4">
        <f t="shared" si="0"/>
        <v>183.5</v>
      </c>
      <c r="J37" s="4"/>
      <c r="K37" s="4">
        <v>8</v>
      </c>
      <c r="L37" s="4">
        <f t="shared" si="5"/>
        <v>392</v>
      </c>
      <c r="N37" s="4"/>
      <c r="O37" s="4"/>
      <c r="P37" s="4"/>
      <c r="Q37" s="4"/>
      <c r="R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M37" s="48"/>
      <c r="AN37" s="4" t="s">
        <v>85</v>
      </c>
      <c r="AO37" s="4">
        <v>1.5</v>
      </c>
      <c r="AP37" s="4">
        <v>1</v>
      </c>
      <c r="AQ37" s="4">
        <f t="shared" si="10"/>
        <v>1.5</v>
      </c>
      <c r="AR37" s="4"/>
      <c r="AS37" s="4"/>
    </row>
    <row r="38" spans="1:45" ht="41.25" customHeight="1" x14ac:dyDescent="0.2">
      <c r="A38" s="4">
        <v>35</v>
      </c>
      <c r="B38" s="10">
        <v>45899</v>
      </c>
      <c r="C38" s="22"/>
      <c r="D38" s="4"/>
      <c r="E38" s="4">
        <f t="shared" si="3"/>
        <v>201</v>
      </c>
      <c r="F38" s="4">
        <v>6</v>
      </c>
      <c r="G38" s="4">
        <v>2</v>
      </c>
      <c r="H38" s="4">
        <f t="shared" si="4"/>
        <v>9.5</v>
      </c>
      <c r="I38" s="4">
        <f t="shared" si="0"/>
        <v>193</v>
      </c>
      <c r="J38" s="4"/>
      <c r="K38" s="4">
        <v>7</v>
      </c>
      <c r="L38" s="4">
        <f t="shared" si="5"/>
        <v>399</v>
      </c>
      <c r="N38" s="4"/>
      <c r="O38" s="4"/>
      <c r="P38" s="4"/>
      <c r="Q38" s="4"/>
      <c r="R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M38" s="48"/>
      <c r="AN38" s="4" t="s">
        <v>69</v>
      </c>
      <c r="AO38" s="4">
        <v>3</v>
      </c>
      <c r="AP38" s="4">
        <v>1</v>
      </c>
      <c r="AQ38" s="4">
        <f>AO39*AP38</f>
        <v>3</v>
      </c>
      <c r="AR38" s="4"/>
      <c r="AS38" s="4"/>
    </row>
    <row r="39" spans="1:45" ht="41.25" customHeight="1" x14ac:dyDescent="0.2">
      <c r="A39" s="4">
        <v>36</v>
      </c>
      <c r="B39" s="10">
        <v>45900</v>
      </c>
      <c r="C39" s="4">
        <v>20</v>
      </c>
      <c r="D39" s="4"/>
      <c r="E39" s="4">
        <f t="shared" si="3"/>
        <v>221</v>
      </c>
      <c r="F39" s="4">
        <v>17</v>
      </c>
      <c r="G39" s="4"/>
      <c r="H39" s="4">
        <f t="shared" si="4"/>
        <v>11</v>
      </c>
      <c r="I39" s="4">
        <f t="shared" si="0"/>
        <v>204</v>
      </c>
      <c r="J39" s="4"/>
      <c r="K39" s="4">
        <v>7</v>
      </c>
      <c r="L39" s="4">
        <f t="shared" si="5"/>
        <v>406</v>
      </c>
      <c r="N39" s="4"/>
      <c r="O39" s="4"/>
      <c r="P39" s="4"/>
      <c r="Q39" s="4"/>
      <c r="R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M39" s="48"/>
      <c r="AN39" s="4" t="s">
        <v>62</v>
      </c>
      <c r="AO39" s="4">
        <v>3</v>
      </c>
      <c r="AP39" s="4">
        <v>1</v>
      </c>
      <c r="AQ39" s="4">
        <f t="shared" ref="AQ39:AQ48" si="11">AO39*AP39</f>
        <v>3</v>
      </c>
      <c r="AR39" s="4"/>
      <c r="AS39" s="4"/>
    </row>
    <row r="40" spans="1:45" ht="41.25" customHeight="1" x14ac:dyDescent="0.2">
      <c r="A40" s="4">
        <v>37</v>
      </c>
      <c r="B40" s="10">
        <v>45901</v>
      </c>
      <c r="C40" s="4">
        <v>20</v>
      </c>
      <c r="D40" s="4"/>
      <c r="E40" s="4">
        <f t="shared" si="3"/>
        <v>241</v>
      </c>
      <c r="F40" s="4">
        <v>26</v>
      </c>
      <c r="G40" s="4"/>
      <c r="H40" s="4">
        <f t="shared" si="4"/>
        <v>11</v>
      </c>
      <c r="I40" s="4">
        <f t="shared" si="0"/>
        <v>215</v>
      </c>
      <c r="J40" s="4"/>
      <c r="K40" s="4">
        <v>7</v>
      </c>
      <c r="L40" s="4">
        <f t="shared" si="5"/>
        <v>413</v>
      </c>
      <c r="N40" s="4"/>
      <c r="O40" s="4"/>
      <c r="P40" s="4"/>
      <c r="Q40" s="4"/>
      <c r="R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M40" s="48"/>
      <c r="AN40" s="4" t="s">
        <v>63</v>
      </c>
      <c r="AO40" s="11">
        <v>300</v>
      </c>
      <c r="AP40" s="4">
        <v>1</v>
      </c>
      <c r="AQ40" s="11">
        <f t="shared" si="11"/>
        <v>300</v>
      </c>
      <c r="AR40" s="4"/>
      <c r="AS40" s="4"/>
    </row>
    <row r="41" spans="1:45" ht="41.25" customHeight="1" x14ac:dyDescent="0.2">
      <c r="A41" s="4">
        <v>38</v>
      </c>
      <c r="B41" s="10">
        <v>45902</v>
      </c>
      <c r="C41" s="4"/>
      <c r="D41" s="4"/>
      <c r="E41" s="4">
        <f t="shared" si="3"/>
        <v>241</v>
      </c>
      <c r="F41" s="4">
        <v>16</v>
      </c>
      <c r="G41" s="4"/>
      <c r="H41" s="4">
        <f t="shared" si="4"/>
        <v>10</v>
      </c>
      <c r="I41" s="4">
        <f t="shared" si="0"/>
        <v>225</v>
      </c>
      <c r="J41" s="4"/>
      <c r="K41" s="4">
        <v>4</v>
      </c>
      <c r="L41" s="4">
        <f t="shared" si="5"/>
        <v>417</v>
      </c>
      <c r="N41" s="4"/>
      <c r="O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M41" s="48"/>
      <c r="AN41" s="4" t="s">
        <v>67</v>
      </c>
      <c r="AO41" s="21">
        <v>2</v>
      </c>
      <c r="AP41" s="4">
        <v>1</v>
      </c>
      <c r="AQ41" s="21">
        <f t="shared" si="11"/>
        <v>2</v>
      </c>
      <c r="AR41" s="4"/>
      <c r="AS41" s="4"/>
    </row>
    <row r="42" spans="1:45" ht="41.25" customHeight="1" x14ac:dyDescent="0.2">
      <c r="A42" s="4">
        <v>39</v>
      </c>
      <c r="B42" s="10">
        <v>45903</v>
      </c>
      <c r="C42" s="4">
        <v>10</v>
      </c>
      <c r="D42" s="4">
        <v>1</v>
      </c>
      <c r="E42" s="4">
        <f t="shared" si="3"/>
        <v>252</v>
      </c>
      <c r="F42" s="4">
        <v>16</v>
      </c>
      <c r="G42" s="4">
        <v>1</v>
      </c>
      <c r="H42" s="4">
        <f t="shared" si="4"/>
        <v>10</v>
      </c>
      <c r="I42" s="4">
        <f t="shared" si="0"/>
        <v>235</v>
      </c>
      <c r="J42" s="4"/>
      <c r="K42" s="4">
        <v>5</v>
      </c>
      <c r="L42" s="4">
        <f t="shared" si="5"/>
        <v>422</v>
      </c>
      <c r="N42" s="4"/>
      <c r="O42" s="4"/>
      <c r="P42" s="4"/>
      <c r="Q42" s="4"/>
      <c r="R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M42" s="48"/>
      <c r="AN42" s="4" t="s">
        <v>48</v>
      </c>
      <c r="AO42" s="11">
        <v>125</v>
      </c>
      <c r="AP42" s="4">
        <v>1</v>
      </c>
      <c r="AQ42" s="11">
        <f t="shared" si="11"/>
        <v>125</v>
      </c>
      <c r="AR42" s="4"/>
      <c r="AS42" s="4"/>
    </row>
    <row r="43" spans="1:45" ht="41.25" customHeight="1" x14ac:dyDescent="0.2">
      <c r="A43" s="4">
        <v>40</v>
      </c>
      <c r="B43" s="10">
        <v>45904</v>
      </c>
      <c r="C43" s="4">
        <v>10</v>
      </c>
      <c r="D43" s="4"/>
      <c r="E43" s="4">
        <f t="shared" si="3"/>
        <v>262</v>
      </c>
      <c r="F43" s="4">
        <v>17</v>
      </c>
      <c r="G43" s="4"/>
      <c r="H43" s="4">
        <f t="shared" si="4"/>
        <v>10</v>
      </c>
      <c r="I43" s="4">
        <f t="shared" si="0"/>
        <v>245</v>
      </c>
      <c r="J43" s="4"/>
      <c r="K43" s="4">
        <v>12</v>
      </c>
      <c r="L43" s="4">
        <f t="shared" si="5"/>
        <v>434</v>
      </c>
      <c r="N43" s="4"/>
      <c r="O43" s="4"/>
      <c r="P43" s="4"/>
      <c r="Q43" s="4"/>
      <c r="R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M43" s="48">
        <v>20</v>
      </c>
      <c r="AN43" s="4" t="s">
        <v>84</v>
      </c>
      <c r="AO43" s="20">
        <v>300</v>
      </c>
      <c r="AP43" s="4">
        <v>1</v>
      </c>
      <c r="AQ43" s="20">
        <f t="shared" si="11"/>
        <v>300</v>
      </c>
      <c r="AR43" s="4"/>
      <c r="AS43" s="4"/>
    </row>
    <row r="44" spans="1:45" ht="41.25" customHeight="1" x14ac:dyDescent="0.2">
      <c r="A44" s="4">
        <v>41</v>
      </c>
      <c r="B44" s="10">
        <v>45905</v>
      </c>
      <c r="C44" s="4"/>
      <c r="D44" s="4"/>
      <c r="E44" s="4">
        <f t="shared" si="3"/>
        <v>262</v>
      </c>
      <c r="F44" s="4">
        <v>11</v>
      </c>
      <c r="G44" s="4"/>
      <c r="H44" s="4">
        <f t="shared" si="4"/>
        <v>6</v>
      </c>
      <c r="I44" s="4">
        <f t="shared" si="0"/>
        <v>251</v>
      </c>
      <c r="J44" s="4"/>
      <c r="K44" s="4">
        <v>5</v>
      </c>
      <c r="L44" s="4">
        <f t="shared" si="5"/>
        <v>439</v>
      </c>
      <c r="N44" s="4"/>
      <c r="O44" s="4"/>
      <c r="P44" s="4"/>
      <c r="Q44" s="4"/>
      <c r="R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M44" s="48"/>
      <c r="AN44" s="4" t="s">
        <v>85</v>
      </c>
      <c r="AO44" s="4">
        <v>1</v>
      </c>
      <c r="AP44" s="4">
        <v>1</v>
      </c>
      <c r="AQ44" s="4">
        <f t="shared" si="11"/>
        <v>1</v>
      </c>
      <c r="AR44" s="4"/>
      <c r="AS44" s="4"/>
    </row>
    <row r="45" spans="1:45" ht="41.25" customHeight="1" x14ac:dyDescent="0.2">
      <c r="A45" s="4">
        <v>42</v>
      </c>
      <c r="B45" s="10">
        <v>45906</v>
      </c>
      <c r="C45" s="4"/>
      <c r="D45" s="4"/>
      <c r="E45" s="4">
        <f t="shared" si="3"/>
        <v>262</v>
      </c>
      <c r="F45" s="4">
        <v>10</v>
      </c>
      <c r="G45" s="4"/>
      <c r="H45" s="4">
        <f t="shared" si="4"/>
        <v>1</v>
      </c>
      <c r="I45" s="4">
        <f t="shared" si="0"/>
        <v>252</v>
      </c>
      <c r="J45" s="4"/>
      <c r="K45" s="4">
        <v>8</v>
      </c>
      <c r="L45" s="4">
        <f t="shared" si="5"/>
        <v>447</v>
      </c>
      <c r="N45" s="4"/>
      <c r="O45" s="4"/>
      <c r="P45" s="4"/>
      <c r="Q45" s="4"/>
      <c r="R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M45" s="48"/>
      <c r="AN45" s="4" t="s">
        <v>67</v>
      </c>
      <c r="AO45" s="21">
        <v>2</v>
      </c>
      <c r="AP45" s="4">
        <v>1</v>
      </c>
      <c r="AQ45" s="21">
        <f t="shared" si="11"/>
        <v>2</v>
      </c>
      <c r="AR45" s="4"/>
      <c r="AS45" s="4"/>
    </row>
    <row r="46" spans="1:45" ht="41.25" customHeight="1" x14ac:dyDescent="0.2">
      <c r="A46" s="4">
        <v>43</v>
      </c>
      <c r="B46" s="10">
        <v>45907</v>
      </c>
      <c r="C46" s="4"/>
      <c r="D46" s="4"/>
      <c r="E46" s="4">
        <f t="shared" si="3"/>
        <v>262</v>
      </c>
      <c r="F46" s="4">
        <v>10</v>
      </c>
      <c r="G46" s="4"/>
      <c r="H46" s="4">
        <f t="shared" si="4"/>
        <v>0</v>
      </c>
      <c r="I46" s="4">
        <f t="shared" si="0"/>
        <v>252</v>
      </c>
      <c r="J46" s="4"/>
      <c r="K46" s="4">
        <v>3</v>
      </c>
      <c r="L46" s="4">
        <f t="shared" si="5"/>
        <v>450</v>
      </c>
      <c r="N46" s="4"/>
      <c r="O46" s="4"/>
      <c r="P46" s="4"/>
      <c r="Q46" s="4"/>
      <c r="R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M46" s="48"/>
      <c r="AN46" s="4" t="s">
        <v>48</v>
      </c>
      <c r="AO46" s="11">
        <v>125</v>
      </c>
      <c r="AP46" s="4">
        <v>1</v>
      </c>
      <c r="AQ46" s="11">
        <f t="shared" si="11"/>
        <v>125</v>
      </c>
      <c r="AR46" s="4"/>
      <c r="AS46" s="4"/>
    </row>
    <row r="47" spans="1:45" ht="41.25" customHeight="1" x14ac:dyDescent="0.2">
      <c r="A47" s="4">
        <v>44</v>
      </c>
      <c r="B47" s="10">
        <v>45908</v>
      </c>
      <c r="C47" s="4"/>
      <c r="D47" s="4"/>
      <c r="E47" s="4">
        <f t="shared" si="3"/>
        <v>262</v>
      </c>
      <c r="F47" s="4">
        <v>10</v>
      </c>
      <c r="G47" s="4"/>
      <c r="H47" s="4">
        <f t="shared" si="4"/>
        <v>0</v>
      </c>
      <c r="I47" s="4">
        <f t="shared" si="0"/>
        <v>252</v>
      </c>
      <c r="J47" s="4"/>
      <c r="K47" s="4">
        <v>4</v>
      </c>
      <c r="L47" s="4">
        <f t="shared" si="5"/>
        <v>454</v>
      </c>
      <c r="N47" s="4"/>
      <c r="O47" s="4"/>
      <c r="P47" s="4"/>
      <c r="Q47" s="4"/>
      <c r="R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M47" s="48" t="s">
        <v>68</v>
      </c>
      <c r="AN47" s="4" t="s">
        <v>67</v>
      </c>
      <c r="AO47" s="21">
        <v>3</v>
      </c>
      <c r="AP47" s="4">
        <v>3</v>
      </c>
      <c r="AQ47" s="21">
        <f t="shared" si="11"/>
        <v>9</v>
      </c>
      <c r="AR47" s="4"/>
      <c r="AS47" s="4"/>
    </row>
    <row r="48" spans="1:45" ht="41.25" customHeight="1" x14ac:dyDescent="0.2">
      <c r="A48" s="4">
        <v>45</v>
      </c>
      <c r="B48" s="10">
        <v>45909</v>
      </c>
      <c r="C48" s="4"/>
      <c r="D48" s="4"/>
      <c r="E48" s="4">
        <f t="shared" si="3"/>
        <v>262</v>
      </c>
      <c r="F48" s="4"/>
      <c r="G48" s="4"/>
      <c r="H48" s="4">
        <f t="shared" si="4"/>
        <v>10</v>
      </c>
      <c r="I48" s="4">
        <f t="shared" si="0"/>
        <v>262</v>
      </c>
      <c r="J48" s="4"/>
      <c r="K48" s="4"/>
      <c r="L48" s="4">
        <f t="shared" si="5"/>
        <v>454</v>
      </c>
      <c r="N48" s="4"/>
      <c r="O48" s="4"/>
      <c r="P48" s="4"/>
      <c r="Q48" s="4"/>
      <c r="R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M48" s="48"/>
      <c r="AN48" s="4" t="s">
        <v>111</v>
      </c>
      <c r="AO48" s="11">
        <v>140</v>
      </c>
      <c r="AP48" s="4">
        <v>3</v>
      </c>
      <c r="AQ48" s="11">
        <f t="shared" si="11"/>
        <v>420</v>
      </c>
      <c r="AR48" s="4"/>
      <c r="AS48" s="4"/>
    </row>
    <row r="49" spans="1:45" ht="41.25" customHeight="1" x14ac:dyDescent="0.2">
      <c r="A49" s="4">
        <v>46</v>
      </c>
      <c r="B49" s="10">
        <v>45910</v>
      </c>
      <c r="C49" s="4"/>
      <c r="D49" s="4"/>
      <c r="E49" s="4">
        <f t="shared" si="3"/>
        <v>262</v>
      </c>
      <c r="F49" s="4"/>
      <c r="G49" s="4"/>
      <c r="H49" s="4">
        <f t="shared" si="4"/>
        <v>0</v>
      </c>
      <c r="I49" s="4">
        <f t="shared" si="0"/>
        <v>262</v>
      </c>
      <c r="J49" s="4"/>
      <c r="K49" s="4"/>
      <c r="L49" s="4">
        <f t="shared" si="5"/>
        <v>454</v>
      </c>
      <c r="N49" s="4"/>
      <c r="O49" s="4"/>
      <c r="P49" s="4"/>
      <c r="Q49" s="4"/>
      <c r="R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M49" s="48" t="s">
        <v>110</v>
      </c>
      <c r="AN49" s="4" t="s">
        <v>53</v>
      </c>
      <c r="AO49" s="21">
        <v>3</v>
      </c>
      <c r="AP49" s="4">
        <v>3</v>
      </c>
      <c r="AQ49" s="21">
        <f t="shared" ref="AQ49:AQ50" si="12">AO49*AP49</f>
        <v>9</v>
      </c>
      <c r="AR49" s="4"/>
      <c r="AS49" s="4"/>
    </row>
    <row r="50" spans="1:45" ht="41.25" customHeight="1" x14ac:dyDescent="0.2">
      <c r="A50" s="4">
        <v>47</v>
      </c>
      <c r="B50" s="10">
        <v>45911</v>
      </c>
      <c r="C50" s="4"/>
      <c r="D50" s="4"/>
      <c r="E50" s="4">
        <f t="shared" si="3"/>
        <v>262</v>
      </c>
      <c r="F50" s="4"/>
      <c r="G50" s="4"/>
      <c r="H50" s="4">
        <f t="shared" si="4"/>
        <v>0</v>
      </c>
      <c r="I50" s="4">
        <f>E50-F50-G50</f>
        <v>262</v>
      </c>
      <c r="J50" s="4"/>
      <c r="K50" s="4"/>
      <c r="L50" s="4">
        <f t="shared" si="5"/>
        <v>454</v>
      </c>
      <c r="N50" s="4"/>
      <c r="O50" s="4"/>
      <c r="P50" s="4"/>
      <c r="Q50" s="4"/>
      <c r="R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M50" s="48"/>
      <c r="AN50" s="4" t="s">
        <v>48</v>
      </c>
      <c r="AO50" s="11">
        <v>180</v>
      </c>
      <c r="AP50" s="4">
        <v>3</v>
      </c>
      <c r="AQ50" s="11">
        <f t="shared" si="12"/>
        <v>540</v>
      </c>
      <c r="AR50" s="4"/>
      <c r="AS50" s="4"/>
    </row>
    <row r="51" spans="1:45" ht="41.25" customHeight="1" x14ac:dyDescent="0.2">
      <c r="A51" s="4">
        <v>48</v>
      </c>
      <c r="B51" s="10">
        <v>45912</v>
      </c>
      <c r="C51" s="4"/>
      <c r="D51" s="4"/>
      <c r="E51" s="4">
        <f t="shared" si="3"/>
        <v>262</v>
      </c>
      <c r="F51" s="4"/>
      <c r="G51" s="4"/>
      <c r="H51" s="4">
        <f t="shared" si="4"/>
        <v>0</v>
      </c>
      <c r="I51" s="4">
        <f t="shared" si="0"/>
        <v>262</v>
      </c>
      <c r="J51" s="4"/>
      <c r="K51" s="4"/>
      <c r="L51" s="4">
        <f t="shared" si="5"/>
        <v>454</v>
      </c>
      <c r="N51" s="4"/>
      <c r="O51" s="4"/>
      <c r="P51" s="4"/>
      <c r="Q51" s="4"/>
      <c r="R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M51" s="48"/>
      <c r="AN51" s="4" t="s">
        <v>72</v>
      </c>
      <c r="AO51" s="20">
        <v>200</v>
      </c>
      <c r="AP51" s="4">
        <v>3</v>
      </c>
      <c r="AQ51" s="20">
        <f>AO51*AP51</f>
        <v>600</v>
      </c>
      <c r="AR51" s="4"/>
      <c r="AS51" s="4"/>
    </row>
    <row r="52" spans="1:45" ht="41.25" customHeight="1" x14ac:dyDescent="0.2">
      <c r="A52" s="4">
        <v>49</v>
      </c>
      <c r="B52" s="10">
        <v>45913</v>
      </c>
      <c r="C52" s="4"/>
      <c r="D52" s="4"/>
      <c r="E52" s="4">
        <f t="shared" si="3"/>
        <v>262</v>
      </c>
      <c r="F52" s="4"/>
      <c r="G52" s="4"/>
      <c r="H52" s="4">
        <f t="shared" si="4"/>
        <v>0</v>
      </c>
      <c r="I52" s="4">
        <f t="shared" si="0"/>
        <v>262</v>
      </c>
      <c r="J52" s="4"/>
      <c r="K52" s="4"/>
      <c r="L52" s="4">
        <f t="shared" si="5"/>
        <v>454</v>
      </c>
      <c r="N52" s="4"/>
      <c r="O52" s="4"/>
      <c r="P52" s="4"/>
      <c r="Q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M52" s="48">
        <v>27</v>
      </c>
      <c r="AN52" s="4" t="s">
        <v>53</v>
      </c>
      <c r="AO52" s="21">
        <v>3</v>
      </c>
      <c r="AP52" s="4">
        <v>3</v>
      </c>
      <c r="AQ52" s="21">
        <f t="shared" ref="AQ52" si="13">AO52*AP52</f>
        <v>9</v>
      </c>
      <c r="AR52" s="36"/>
      <c r="AS52" s="4"/>
    </row>
    <row r="53" spans="1:45" ht="41.25" customHeight="1" x14ac:dyDescent="0.2">
      <c r="A53" s="4">
        <v>50</v>
      </c>
      <c r="B53" s="10">
        <v>45914</v>
      </c>
      <c r="C53" s="4"/>
      <c r="D53" s="4"/>
      <c r="E53" s="4">
        <f t="shared" si="3"/>
        <v>262</v>
      </c>
      <c r="F53" s="4"/>
      <c r="G53" s="4"/>
      <c r="H53" s="4">
        <f t="shared" si="4"/>
        <v>0</v>
      </c>
      <c r="I53" s="4">
        <f t="shared" si="0"/>
        <v>262</v>
      </c>
      <c r="J53" s="4"/>
      <c r="K53" s="4"/>
      <c r="L53" s="4">
        <f t="shared" si="5"/>
        <v>454</v>
      </c>
      <c r="N53" s="4"/>
      <c r="O53" s="4"/>
      <c r="P53" s="4"/>
      <c r="Q53" s="4"/>
      <c r="R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M53" s="48"/>
      <c r="AN53" s="4" t="s">
        <v>48</v>
      </c>
      <c r="AO53" s="11">
        <v>180</v>
      </c>
      <c r="AP53" s="4">
        <v>3</v>
      </c>
      <c r="AQ53" s="11">
        <f t="shared" ref="AQ53" si="14">AO53*AP53</f>
        <v>540</v>
      </c>
      <c r="AR53" s="36"/>
      <c r="AS53" s="4"/>
    </row>
    <row r="54" spans="1:45" ht="41.25" customHeight="1" x14ac:dyDescent="0.2">
      <c r="H54" s="4"/>
      <c r="AE54" s="4"/>
      <c r="AF54" s="4"/>
      <c r="AG54" s="4"/>
      <c r="AH54" s="4"/>
      <c r="AI54" s="4"/>
      <c r="AJ54" s="4"/>
      <c r="AK54" s="4"/>
      <c r="AM54" s="48"/>
      <c r="AN54" s="4" t="s">
        <v>72</v>
      </c>
      <c r="AO54" s="20">
        <v>200</v>
      </c>
      <c r="AP54" s="4">
        <v>1</v>
      </c>
      <c r="AQ54" s="20">
        <f>AO54*AP54</f>
        <v>200</v>
      </c>
      <c r="AR54" s="4"/>
      <c r="AS54" s="4"/>
    </row>
    <row r="55" spans="1:45" ht="41.25" customHeight="1" x14ac:dyDescent="0.2">
      <c r="AE55" s="4"/>
      <c r="AF55" s="4"/>
      <c r="AG55" s="4"/>
      <c r="AH55" s="4"/>
      <c r="AI55" s="4"/>
      <c r="AJ55" s="4"/>
      <c r="AK55" s="4"/>
      <c r="AM55" s="48"/>
      <c r="AN55" s="4" t="s">
        <v>84</v>
      </c>
      <c r="AO55" s="20">
        <v>400</v>
      </c>
      <c r="AP55" s="4">
        <v>1</v>
      </c>
      <c r="AQ55" s="20">
        <f t="shared" ref="AQ55:AQ57" si="15">AO55*AP55</f>
        <v>400</v>
      </c>
      <c r="AR55" s="4"/>
      <c r="AS55" s="4"/>
    </row>
    <row r="56" spans="1:45" ht="41.25" customHeight="1" x14ac:dyDescent="0.2">
      <c r="AM56" s="48"/>
      <c r="AN56" s="4" t="s">
        <v>85</v>
      </c>
      <c r="AO56" s="20">
        <v>360</v>
      </c>
      <c r="AP56" s="4">
        <v>1</v>
      </c>
      <c r="AQ56" s="20">
        <f t="shared" si="15"/>
        <v>360</v>
      </c>
      <c r="AR56" s="4"/>
      <c r="AS56" s="4"/>
    </row>
    <row r="57" spans="1:45" ht="41.25" customHeight="1" x14ac:dyDescent="0.2">
      <c r="AM57" s="48"/>
      <c r="AN57" s="4" t="s">
        <v>62</v>
      </c>
      <c r="AO57" s="20">
        <v>360</v>
      </c>
      <c r="AP57" s="4">
        <v>1</v>
      </c>
      <c r="AQ57" s="20">
        <f t="shared" si="15"/>
        <v>360</v>
      </c>
      <c r="AR57" s="4"/>
      <c r="AS57" s="4"/>
    </row>
    <row r="58" spans="1:45" ht="41.25" customHeight="1" x14ac:dyDescent="0.2">
      <c r="AM58" s="48"/>
      <c r="AN58" s="4" t="s">
        <v>69</v>
      </c>
      <c r="AO58" s="4">
        <v>3</v>
      </c>
      <c r="AP58" s="4">
        <v>1</v>
      </c>
      <c r="AQ58" s="11">
        <f t="shared" ref="AQ58:AQ67" si="16">AO58*AP58</f>
        <v>3</v>
      </c>
      <c r="AR58" s="4"/>
      <c r="AS58" s="4"/>
    </row>
    <row r="59" spans="1:45" ht="41.25" customHeight="1" x14ac:dyDescent="0.2">
      <c r="AM59" s="48"/>
      <c r="AN59" s="4" t="s">
        <v>63</v>
      </c>
      <c r="AO59" s="11">
        <v>380</v>
      </c>
      <c r="AP59" s="4">
        <v>1</v>
      </c>
      <c r="AQ59" s="11">
        <f t="shared" si="16"/>
        <v>380</v>
      </c>
      <c r="AR59" s="4"/>
      <c r="AS59" s="4"/>
    </row>
    <row r="60" spans="1:45" ht="41.25" customHeight="1" x14ac:dyDescent="0.2">
      <c r="AM60" s="48" t="s">
        <v>146</v>
      </c>
      <c r="AN60" s="4" t="s">
        <v>67</v>
      </c>
      <c r="AO60" s="21">
        <v>3</v>
      </c>
      <c r="AP60" s="4">
        <v>3</v>
      </c>
      <c r="AQ60" s="21">
        <f t="shared" si="16"/>
        <v>9</v>
      </c>
      <c r="AR60" s="4"/>
      <c r="AS60" s="4"/>
    </row>
    <row r="61" spans="1:45" ht="41.25" customHeight="1" x14ac:dyDescent="0.2">
      <c r="AM61" s="48"/>
      <c r="AN61" s="4" t="s">
        <v>48</v>
      </c>
      <c r="AO61" s="11">
        <v>170</v>
      </c>
      <c r="AP61" s="4">
        <v>3</v>
      </c>
      <c r="AQ61" s="11">
        <f t="shared" si="16"/>
        <v>510</v>
      </c>
      <c r="AR61" s="4"/>
      <c r="AS61" s="4"/>
    </row>
    <row r="62" spans="1:45" ht="41.25" customHeight="1" x14ac:dyDescent="0.2">
      <c r="AM62" s="48"/>
      <c r="AN62" s="4" t="s">
        <v>136</v>
      </c>
      <c r="AO62" s="20">
        <v>360</v>
      </c>
      <c r="AP62" s="4">
        <v>3</v>
      </c>
      <c r="AQ62" s="20">
        <f t="shared" si="16"/>
        <v>1080</v>
      </c>
      <c r="AR62" s="4"/>
      <c r="AS62" s="4"/>
    </row>
    <row r="63" spans="1:45" ht="41.25" customHeight="1" x14ac:dyDescent="0.2">
      <c r="AM63" s="48" t="s">
        <v>148</v>
      </c>
      <c r="AN63" s="4" t="s">
        <v>147</v>
      </c>
      <c r="AO63" s="11">
        <v>250</v>
      </c>
      <c r="AP63" s="4">
        <v>3</v>
      </c>
      <c r="AQ63" s="11">
        <f t="shared" si="16"/>
        <v>750</v>
      </c>
      <c r="AR63" s="4"/>
      <c r="AS63" s="4"/>
    </row>
    <row r="64" spans="1:45" ht="41.25" customHeight="1" x14ac:dyDescent="0.2">
      <c r="AM64" s="48"/>
      <c r="AN64" s="4" t="s">
        <v>88</v>
      </c>
      <c r="AO64" s="11">
        <v>150</v>
      </c>
      <c r="AP64" s="4">
        <v>3</v>
      </c>
      <c r="AQ64" s="11">
        <f t="shared" si="16"/>
        <v>450</v>
      </c>
      <c r="AR64" s="4"/>
      <c r="AS64" s="4"/>
    </row>
    <row r="65" spans="39:45" ht="46.5" customHeight="1" x14ac:dyDescent="0.2">
      <c r="AM65" s="48"/>
      <c r="AN65" s="4" t="s">
        <v>67</v>
      </c>
      <c r="AO65" s="21">
        <v>4</v>
      </c>
      <c r="AP65" s="4">
        <v>3</v>
      </c>
      <c r="AQ65" s="21">
        <f t="shared" si="16"/>
        <v>12</v>
      </c>
      <c r="AR65" s="4"/>
      <c r="AS65" s="4"/>
    </row>
    <row r="66" spans="39:45" ht="53.25" customHeight="1" x14ac:dyDescent="0.2">
      <c r="AM66" s="48"/>
      <c r="AN66" s="4" t="s">
        <v>48</v>
      </c>
      <c r="AO66" s="11">
        <v>250</v>
      </c>
      <c r="AP66" s="4">
        <v>2</v>
      </c>
      <c r="AQ66" s="11">
        <f t="shared" si="16"/>
        <v>500</v>
      </c>
      <c r="AR66" s="4"/>
      <c r="AS66" s="4"/>
    </row>
    <row r="67" spans="39:45" ht="53.25" customHeight="1" x14ac:dyDescent="0.2">
      <c r="AM67" s="36" t="s">
        <v>149</v>
      </c>
      <c r="AN67" s="4" t="s">
        <v>70</v>
      </c>
      <c r="AO67" s="20">
        <v>400</v>
      </c>
      <c r="AP67" s="4">
        <v>3</v>
      </c>
      <c r="AQ67" s="20">
        <f t="shared" si="16"/>
        <v>1200</v>
      </c>
      <c r="AR67" s="4"/>
      <c r="AS67" s="4"/>
    </row>
    <row r="68" spans="39:45" ht="53.25" customHeight="1" x14ac:dyDescent="0.2">
      <c r="AM68" s="39"/>
    </row>
    <row r="69" spans="39:45" ht="53.25" customHeight="1" x14ac:dyDescent="0.2">
      <c r="AM69" s="39"/>
      <c r="AO69" s="40"/>
      <c r="AQ69" s="40"/>
    </row>
    <row r="70" spans="39:45" ht="53.25" customHeight="1" x14ac:dyDescent="0.2">
      <c r="AM70" s="39"/>
    </row>
    <row r="71" spans="39:45" ht="53.25" customHeight="1" x14ac:dyDescent="0.2">
      <c r="AM71" s="39"/>
    </row>
    <row r="72" spans="39:45" ht="53.25" customHeight="1" x14ac:dyDescent="0.2"/>
    <row r="73" spans="39:45" ht="53.25" customHeight="1" x14ac:dyDescent="0.2">
      <c r="AM73" s="39"/>
      <c r="AO73" s="40"/>
      <c r="AQ73" s="40"/>
    </row>
    <row r="74" spans="39:45" ht="53.25" customHeight="1" x14ac:dyDescent="0.2">
      <c r="AM74" s="39"/>
    </row>
    <row r="75" spans="39:45" ht="53.25" customHeight="1" x14ac:dyDescent="0.2">
      <c r="AM75" s="39"/>
    </row>
  </sheetData>
  <mergeCells count="30">
    <mergeCell ref="AM63:AM66"/>
    <mergeCell ref="AM52:AM59"/>
    <mergeCell ref="AM60:AM62"/>
    <mergeCell ref="AM17:AM20"/>
    <mergeCell ref="AM21:AM24"/>
    <mergeCell ref="AM25:AM28"/>
    <mergeCell ref="AM29:AM31"/>
    <mergeCell ref="AM32:AM35"/>
    <mergeCell ref="AM36:AM42"/>
    <mergeCell ref="AM43:AM46"/>
    <mergeCell ref="AM47:AM48"/>
    <mergeCell ref="AM49:AM51"/>
    <mergeCell ref="AM12:AM15"/>
    <mergeCell ref="AH4:AH5"/>
    <mergeCell ref="AI4:AI5"/>
    <mergeCell ref="AJ4:AJ5"/>
    <mergeCell ref="AK4:AK5"/>
    <mergeCell ref="AM4:AM7"/>
    <mergeCell ref="AM2:AS2"/>
    <mergeCell ref="C1:K1"/>
    <mergeCell ref="A2:B2"/>
    <mergeCell ref="C2:K2"/>
    <mergeCell ref="T1:AK1"/>
    <mergeCell ref="X2:Z2"/>
    <mergeCell ref="AC2:AF2"/>
    <mergeCell ref="AH2:AJ2"/>
    <mergeCell ref="N1:R1"/>
    <mergeCell ref="N2:R2"/>
    <mergeCell ref="T2:U2"/>
    <mergeCell ref="V2:W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07A0-619E-4C61-A254-FB3092831962}">
  <sheetPr>
    <tabColor rgb="FFFFFF00"/>
  </sheetPr>
  <dimension ref="A1:AS75"/>
  <sheetViews>
    <sheetView zoomScaleNormal="100" workbookViewId="0">
      <selection activeCell="AQ43" sqref="AQ43"/>
    </sheetView>
  </sheetViews>
  <sheetFormatPr defaultColWidth="12.125" defaultRowHeight="18" x14ac:dyDescent="0.2"/>
  <cols>
    <col min="1" max="1" width="12.125" style="1"/>
    <col min="2" max="2" width="16.75" style="1" customWidth="1"/>
    <col min="3" max="6" width="12.125" style="1"/>
    <col min="7" max="7" width="11.25" style="1" bestFit="1" customWidth="1"/>
    <col min="8" max="9" width="21.875" style="1" bestFit="1" customWidth="1"/>
    <col min="10" max="10" width="12.5" style="1" customWidth="1"/>
    <col min="11" max="11" width="13.25" style="1" customWidth="1"/>
    <col min="12" max="12" width="16.125" style="1" bestFit="1" customWidth="1"/>
    <col min="13" max="13" width="7.625" style="3" customWidth="1"/>
    <col min="14" max="14" width="20.875" style="1" customWidth="1"/>
    <col min="15" max="15" width="19.5" style="1" customWidth="1"/>
    <col min="16" max="16" width="18.25" style="1" customWidth="1"/>
    <col min="17" max="17" width="17.625" style="1" customWidth="1"/>
    <col min="18" max="18" width="21.375" style="1" customWidth="1"/>
    <col min="19" max="19" width="8.5" style="2" customWidth="1"/>
    <col min="20" max="20" width="15.625" style="1" customWidth="1"/>
    <col min="21" max="21" width="14.75" style="1" customWidth="1"/>
    <col min="22" max="22" width="15.375" style="1" customWidth="1"/>
    <col min="23" max="23" width="23" style="1" customWidth="1"/>
    <col min="24" max="25" width="22.625" style="1" customWidth="1"/>
    <col min="26" max="26" width="13" style="1" bestFit="1" customWidth="1"/>
    <col min="27" max="27" width="16.375" style="1" bestFit="1" customWidth="1"/>
    <col min="28" max="28" width="23.125" style="1" bestFit="1" customWidth="1"/>
    <col min="29" max="29" width="23.125" style="1" customWidth="1"/>
    <col min="30" max="30" width="12" style="1" customWidth="1"/>
    <col min="31" max="32" width="12.125" style="1"/>
    <col min="33" max="33" width="30.75" style="1" bestFit="1" customWidth="1"/>
    <col min="34" max="34" width="30.75" style="1" customWidth="1"/>
    <col min="35" max="35" width="29" style="1" bestFit="1" customWidth="1"/>
    <col min="36" max="36" width="13.75" style="1" customWidth="1"/>
    <col min="37" max="37" width="13.875" style="1" customWidth="1"/>
    <col min="38" max="38" width="10.375" style="7" customWidth="1"/>
    <col min="39" max="40" width="18.625" style="1" customWidth="1"/>
    <col min="41" max="41" width="19.125" style="1" customWidth="1"/>
    <col min="42" max="42" width="15.75" style="1" customWidth="1"/>
    <col min="43" max="43" width="16.5" style="1" customWidth="1"/>
    <col min="44" max="44" width="17.75" style="1" customWidth="1"/>
    <col min="45" max="45" width="17.375" style="1" customWidth="1"/>
    <col min="46" max="16384" width="12.125" style="1"/>
  </cols>
  <sheetData>
    <row r="1" spans="1:45" ht="41.25" customHeight="1" x14ac:dyDescent="0.2">
      <c r="A1" s="4"/>
      <c r="B1" s="9"/>
      <c r="C1" s="46" t="s">
        <v>150</v>
      </c>
      <c r="D1" s="46"/>
      <c r="E1" s="46"/>
      <c r="F1" s="46"/>
      <c r="G1" s="46"/>
      <c r="H1" s="46"/>
      <c r="I1" s="46"/>
      <c r="J1" s="46"/>
      <c r="K1" s="47"/>
      <c r="L1" s="4"/>
      <c r="N1" s="45"/>
      <c r="O1" s="46"/>
      <c r="P1" s="46"/>
      <c r="Q1" s="46"/>
      <c r="R1" s="47"/>
      <c r="T1" s="45" t="s">
        <v>26</v>
      </c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M1" s="4"/>
      <c r="AN1" s="4"/>
      <c r="AO1" s="4"/>
      <c r="AP1" s="4"/>
      <c r="AQ1" s="4"/>
      <c r="AR1" s="4"/>
      <c r="AS1" s="4"/>
    </row>
    <row r="2" spans="1:45" ht="41.25" customHeight="1" x14ac:dyDescent="0.2">
      <c r="A2" s="51">
        <v>45835</v>
      </c>
      <c r="B2" s="46"/>
      <c r="C2" s="46" t="s">
        <v>151</v>
      </c>
      <c r="D2" s="46"/>
      <c r="E2" s="46"/>
      <c r="F2" s="46"/>
      <c r="G2" s="46"/>
      <c r="H2" s="46"/>
      <c r="I2" s="46"/>
      <c r="J2" s="46"/>
      <c r="K2" s="47"/>
      <c r="L2" s="4" t="s">
        <v>119</v>
      </c>
      <c r="N2" s="45" t="s">
        <v>27</v>
      </c>
      <c r="O2" s="46"/>
      <c r="P2" s="46"/>
      <c r="Q2" s="46"/>
      <c r="R2" s="47"/>
      <c r="T2" s="45" t="s">
        <v>103</v>
      </c>
      <c r="U2" s="46"/>
      <c r="V2" s="45" t="s">
        <v>41</v>
      </c>
      <c r="W2" s="47"/>
      <c r="X2" s="45">
        <v>5574</v>
      </c>
      <c r="Y2" s="46"/>
      <c r="Z2" s="47"/>
      <c r="AA2" s="6"/>
      <c r="AB2" s="6"/>
      <c r="AC2" s="46" t="s">
        <v>9</v>
      </c>
      <c r="AD2" s="46"/>
      <c r="AE2" s="46"/>
      <c r="AF2" s="47"/>
      <c r="AG2" s="4" t="s">
        <v>18</v>
      </c>
      <c r="AH2" s="45">
        <v>3299</v>
      </c>
      <c r="AI2" s="46"/>
      <c r="AJ2" s="47"/>
      <c r="AK2" s="4"/>
      <c r="AM2" s="48" t="s">
        <v>33</v>
      </c>
      <c r="AN2" s="48"/>
      <c r="AO2" s="48"/>
      <c r="AP2" s="48"/>
      <c r="AQ2" s="48"/>
      <c r="AR2" s="48"/>
      <c r="AS2" s="48"/>
    </row>
    <row r="3" spans="1:45" ht="41.2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11</v>
      </c>
      <c r="I3" s="4" t="s">
        <v>7</v>
      </c>
      <c r="J3" s="4" t="s">
        <v>8</v>
      </c>
      <c r="K3" s="4" t="s">
        <v>9</v>
      </c>
      <c r="L3" s="4" t="s">
        <v>10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T3" s="4" t="s">
        <v>1</v>
      </c>
      <c r="U3" s="4" t="s">
        <v>17</v>
      </c>
      <c r="V3" s="4" t="s">
        <v>8</v>
      </c>
      <c r="W3" s="4" t="s">
        <v>18</v>
      </c>
      <c r="X3" s="4" t="s">
        <v>19</v>
      </c>
      <c r="Y3" s="4" t="s">
        <v>8</v>
      </c>
      <c r="Z3" s="4" t="s">
        <v>38</v>
      </c>
      <c r="AA3" s="4" t="s">
        <v>25</v>
      </c>
      <c r="AB3" s="4" t="s">
        <v>18</v>
      </c>
      <c r="AC3" s="4" t="s">
        <v>23</v>
      </c>
      <c r="AD3" s="4" t="s">
        <v>20</v>
      </c>
      <c r="AE3" s="4" t="s">
        <v>21</v>
      </c>
      <c r="AF3" s="4" t="s">
        <v>22</v>
      </c>
      <c r="AG3" s="4" t="s">
        <v>43</v>
      </c>
      <c r="AH3" s="4" t="s">
        <v>7</v>
      </c>
      <c r="AI3" s="4" t="s">
        <v>44</v>
      </c>
      <c r="AJ3" s="4" t="s">
        <v>8</v>
      </c>
      <c r="AK3" s="4" t="s">
        <v>24</v>
      </c>
      <c r="AM3" s="4" t="s">
        <v>28</v>
      </c>
      <c r="AN3" s="4" t="s">
        <v>29</v>
      </c>
      <c r="AO3" s="4" t="s">
        <v>14</v>
      </c>
      <c r="AP3" s="4" t="s">
        <v>30</v>
      </c>
      <c r="AQ3" s="4" t="s">
        <v>31</v>
      </c>
      <c r="AR3" s="4" t="s">
        <v>32</v>
      </c>
      <c r="AS3" s="4" t="s">
        <v>16</v>
      </c>
    </row>
    <row r="4" spans="1:45" ht="41.25" customHeight="1" x14ac:dyDescent="0.2">
      <c r="A4" s="4">
        <v>1</v>
      </c>
      <c r="B4" s="10">
        <v>45836</v>
      </c>
      <c r="C4" s="4">
        <v>10</v>
      </c>
      <c r="D4" s="4"/>
      <c r="E4" s="4">
        <v>10</v>
      </c>
      <c r="F4" s="4">
        <v>9</v>
      </c>
      <c r="G4" s="4"/>
      <c r="H4" s="4">
        <v>0.5</v>
      </c>
      <c r="I4" s="4">
        <f t="shared" ref="I4:I53" si="0">E4-F4-G4</f>
        <v>1</v>
      </c>
      <c r="J4" s="4"/>
      <c r="K4" s="4">
        <v>2</v>
      </c>
      <c r="L4" s="4">
        <v>2</v>
      </c>
      <c r="N4" s="4"/>
      <c r="O4" s="4"/>
      <c r="P4" s="4"/>
      <c r="Q4" s="4"/>
      <c r="R4" s="4"/>
      <c r="T4" s="27">
        <v>45872</v>
      </c>
      <c r="U4" s="1">
        <v>354</v>
      </c>
      <c r="V4" s="4">
        <v>472.95</v>
      </c>
      <c r="W4" s="4">
        <v>354</v>
      </c>
      <c r="X4" s="4">
        <v>472.95</v>
      </c>
      <c r="Y4" s="4">
        <f>X4/W4</f>
        <v>1.3360169491525424</v>
      </c>
      <c r="Z4" s="4">
        <v>977</v>
      </c>
      <c r="AA4" s="4">
        <f>Z4*100/X2</f>
        <v>17.527807678507354</v>
      </c>
      <c r="AB4" s="4">
        <v>4598</v>
      </c>
      <c r="AC4" s="1">
        <f>AB4+Z4-X2</f>
        <v>1</v>
      </c>
      <c r="AD4" s="4">
        <v>122</v>
      </c>
      <c r="AE4" s="4">
        <v>182</v>
      </c>
      <c r="AF4" s="4">
        <v>103</v>
      </c>
      <c r="AG4" s="4">
        <v>7204.65</v>
      </c>
      <c r="AH4" s="42">
        <v>426</v>
      </c>
      <c r="AI4" s="42">
        <f>AH4*30.76</f>
        <v>13103.76</v>
      </c>
      <c r="AJ4" s="42">
        <f>AG4/AH2</f>
        <v>2.183889057290088</v>
      </c>
      <c r="AK4" s="42">
        <f>AI4/AG5</f>
        <v>1.7586460968588322</v>
      </c>
      <c r="AM4" s="48" t="s">
        <v>49</v>
      </c>
      <c r="AN4" s="4" t="s">
        <v>45</v>
      </c>
      <c r="AO4" s="20">
        <v>82</v>
      </c>
      <c r="AP4" s="4">
        <v>4</v>
      </c>
      <c r="AQ4" s="20">
        <f>AO4*AP4</f>
        <v>328</v>
      </c>
      <c r="AR4" s="4"/>
      <c r="AS4" s="25"/>
    </row>
    <row r="5" spans="1:45" ht="41.25" customHeight="1" x14ac:dyDescent="0.2">
      <c r="A5" s="4">
        <v>2</v>
      </c>
      <c r="B5" s="10">
        <v>45837</v>
      </c>
      <c r="C5" s="4"/>
      <c r="D5" s="4"/>
      <c r="E5" s="4">
        <f>E4+C5+D5</f>
        <v>10</v>
      </c>
      <c r="F5" s="4">
        <v>7.5</v>
      </c>
      <c r="G5" s="4"/>
      <c r="H5" s="4">
        <f>I5-I4</f>
        <v>1.5</v>
      </c>
      <c r="I5" s="4">
        <f t="shared" si="0"/>
        <v>2.5</v>
      </c>
      <c r="J5" s="4"/>
      <c r="K5" s="4">
        <v>1</v>
      </c>
      <c r="L5" s="4">
        <f>L4+K5</f>
        <v>3</v>
      </c>
      <c r="N5" s="4"/>
      <c r="O5" s="4"/>
      <c r="P5" s="4"/>
      <c r="Q5" s="4"/>
      <c r="R5" s="4"/>
      <c r="T5" s="27">
        <v>45873</v>
      </c>
      <c r="U5" s="24">
        <v>284</v>
      </c>
      <c r="V5" s="4">
        <v>387.85</v>
      </c>
      <c r="W5" s="4">
        <f>W4+U5</f>
        <v>638</v>
      </c>
      <c r="X5" s="4">
        <f>X4+V5</f>
        <v>860.8</v>
      </c>
      <c r="Y5" s="4">
        <f t="shared" ref="Y5:Y13" si="1">X5/W5</f>
        <v>1.3492163009404388</v>
      </c>
      <c r="Z5" s="4"/>
      <c r="AA5" s="4"/>
      <c r="AB5" s="4"/>
      <c r="AC5" s="4"/>
      <c r="AD5" s="4">
        <f>AD4*0.3</f>
        <v>36.6</v>
      </c>
      <c r="AE5" s="4">
        <f>AE4*0.7</f>
        <v>127.39999999999999</v>
      </c>
      <c r="AF5" s="4">
        <f>AF4*0.8</f>
        <v>82.4</v>
      </c>
      <c r="AG5" s="4">
        <f>AG4+AD5+AE5+AF5</f>
        <v>7451.0499999999993</v>
      </c>
      <c r="AH5" s="44"/>
      <c r="AI5" s="44"/>
      <c r="AJ5" s="44"/>
      <c r="AK5" s="44"/>
      <c r="AM5" s="48"/>
      <c r="AN5" s="4" t="s">
        <v>77</v>
      </c>
      <c r="AO5" s="20">
        <v>55</v>
      </c>
      <c r="AP5" s="4">
        <v>4</v>
      </c>
      <c r="AQ5" s="20">
        <f t="shared" ref="AQ5" si="2">AO5*AP5</f>
        <v>220</v>
      </c>
      <c r="AR5" s="4"/>
      <c r="AS5" s="20"/>
    </row>
    <row r="6" spans="1:45" ht="41.25" customHeight="1" x14ac:dyDescent="0.2">
      <c r="A6" s="4">
        <v>3</v>
      </c>
      <c r="B6" s="10">
        <v>45838</v>
      </c>
      <c r="C6" s="4"/>
      <c r="D6" s="4"/>
      <c r="E6" s="4">
        <f t="shared" ref="E6:E53" si="3">E5+C6+D6</f>
        <v>10</v>
      </c>
      <c r="F6" s="4">
        <v>5.5</v>
      </c>
      <c r="G6" s="4"/>
      <c r="H6" s="4">
        <f t="shared" ref="H6:H53" si="4">I6-I5</f>
        <v>2</v>
      </c>
      <c r="I6" s="4">
        <f t="shared" si="0"/>
        <v>4.5</v>
      </c>
      <c r="J6" s="4"/>
      <c r="K6" s="4">
        <v>2</v>
      </c>
      <c r="L6" s="4">
        <f t="shared" ref="L6:L53" si="5">L5+K6</f>
        <v>5</v>
      </c>
      <c r="N6" s="4"/>
      <c r="O6" s="4"/>
      <c r="P6" s="4"/>
      <c r="Q6" s="4"/>
      <c r="R6" s="4"/>
      <c r="T6" s="27">
        <v>45874</v>
      </c>
      <c r="U6" s="24">
        <v>323</v>
      </c>
      <c r="V6" s="4">
        <v>458.25</v>
      </c>
      <c r="W6" s="4">
        <f t="shared" ref="W6:W13" si="6">W5+U6</f>
        <v>961</v>
      </c>
      <c r="X6" s="4">
        <f t="shared" ref="X6:X13" si="7">X5+V6</f>
        <v>1319.05</v>
      </c>
      <c r="Y6" s="4">
        <f t="shared" si="1"/>
        <v>1.3725806451612903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M6" s="48"/>
      <c r="AN6" s="4" t="s">
        <v>47</v>
      </c>
      <c r="AO6" s="20">
        <v>40</v>
      </c>
      <c r="AP6" s="4">
        <v>4</v>
      </c>
      <c r="AQ6" s="20">
        <f t="shared" ref="AQ6:AQ17" si="8">AO6*AP6</f>
        <v>160</v>
      </c>
      <c r="AR6" s="4"/>
      <c r="AS6" s="4"/>
    </row>
    <row r="7" spans="1:45" ht="41.25" customHeight="1" x14ac:dyDescent="0.2">
      <c r="A7" s="4">
        <v>4</v>
      </c>
      <c r="B7" s="10">
        <v>45839</v>
      </c>
      <c r="C7" s="4">
        <v>10</v>
      </c>
      <c r="D7" s="4"/>
      <c r="E7" s="4">
        <f>E6+C7+D7</f>
        <v>20</v>
      </c>
      <c r="F7" s="4">
        <v>12.5</v>
      </c>
      <c r="G7" s="4"/>
      <c r="H7" s="4">
        <f t="shared" si="4"/>
        <v>3</v>
      </c>
      <c r="I7" s="4">
        <f t="shared" si="0"/>
        <v>7.5</v>
      </c>
      <c r="J7" s="4"/>
      <c r="K7" s="4">
        <v>4</v>
      </c>
      <c r="L7" s="4">
        <f t="shared" si="5"/>
        <v>9</v>
      </c>
      <c r="N7" s="4"/>
      <c r="O7" s="4"/>
      <c r="P7" s="4"/>
      <c r="Q7" s="4"/>
      <c r="R7" s="4"/>
      <c r="T7" s="27">
        <v>45875</v>
      </c>
      <c r="U7" s="24">
        <v>440</v>
      </c>
      <c r="V7" s="4">
        <v>655.85</v>
      </c>
      <c r="W7" s="4">
        <f t="shared" si="6"/>
        <v>1401</v>
      </c>
      <c r="X7" s="4">
        <f t="shared" si="7"/>
        <v>1974.9</v>
      </c>
      <c r="Y7" s="4">
        <f t="shared" si="1"/>
        <v>1.4096359743040685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M7" s="48"/>
      <c r="AN7" s="1" t="s">
        <v>48</v>
      </c>
      <c r="AO7" s="11">
        <v>55</v>
      </c>
      <c r="AP7" s="1">
        <v>4</v>
      </c>
      <c r="AQ7" s="11">
        <f t="shared" si="8"/>
        <v>220</v>
      </c>
      <c r="AR7" s="4"/>
      <c r="AS7" s="4"/>
    </row>
    <row r="8" spans="1:45" ht="41.25" customHeight="1" x14ac:dyDescent="0.2">
      <c r="A8" s="4">
        <v>5</v>
      </c>
      <c r="B8" s="10">
        <v>45840</v>
      </c>
      <c r="C8" s="4"/>
      <c r="D8" s="4"/>
      <c r="E8" s="4">
        <f>E7+C8+D8</f>
        <v>20</v>
      </c>
      <c r="F8" s="4">
        <v>9.5</v>
      </c>
      <c r="G8" s="4"/>
      <c r="H8" s="4">
        <f t="shared" si="4"/>
        <v>3</v>
      </c>
      <c r="I8" s="4">
        <f t="shared" si="0"/>
        <v>10.5</v>
      </c>
      <c r="J8" s="4"/>
      <c r="K8" s="4">
        <v>6</v>
      </c>
      <c r="L8" s="4">
        <f t="shared" si="5"/>
        <v>15</v>
      </c>
      <c r="N8" s="4"/>
      <c r="O8" s="4"/>
      <c r="P8" s="4"/>
      <c r="Q8" s="4"/>
      <c r="T8" s="27">
        <v>45880</v>
      </c>
      <c r="U8" s="24">
        <v>724</v>
      </c>
      <c r="V8" s="4">
        <v>1122.0999999999999</v>
      </c>
      <c r="W8" s="4">
        <f t="shared" si="6"/>
        <v>2125</v>
      </c>
      <c r="X8" s="4">
        <f t="shared" si="7"/>
        <v>3097</v>
      </c>
      <c r="Y8" s="4">
        <f t="shared" si="1"/>
        <v>1.4574117647058824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21"/>
      <c r="AL8" s="28"/>
      <c r="AM8" s="55" t="s">
        <v>52</v>
      </c>
      <c r="AN8" s="21" t="s">
        <v>50</v>
      </c>
      <c r="AO8" s="11">
        <v>35</v>
      </c>
      <c r="AP8" s="4">
        <v>3</v>
      </c>
      <c r="AQ8" s="11">
        <f t="shared" si="8"/>
        <v>105</v>
      </c>
      <c r="AR8" s="4"/>
      <c r="AS8" s="4"/>
    </row>
    <row r="9" spans="1:45" ht="41.25" customHeight="1" x14ac:dyDescent="0.2">
      <c r="A9" s="4">
        <v>6</v>
      </c>
      <c r="B9" s="10">
        <v>45841</v>
      </c>
      <c r="C9" s="4"/>
      <c r="D9" s="4"/>
      <c r="E9" s="4">
        <f t="shared" si="3"/>
        <v>20</v>
      </c>
      <c r="F9" s="4">
        <v>6.5</v>
      </c>
      <c r="G9" s="4"/>
      <c r="H9" s="4">
        <f t="shared" si="4"/>
        <v>3</v>
      </c>
      <c r="I9" s="4">
        <f t="shared" si="0"/>
        <v>13.5</v>
      </c>
      <c r="J9" s="4"/>
      <c r="K9" s="4">
        <v>6</v>
      </c>
      <c r="L9" s="4">
        <f t="shared" si="5"/>
        <v>21</v>
      </c>
      <c r="N9" s="4"/>
      <c r="O9" s="4"/>
      <c r="P9" s="4"/>
      <c r="Q9" s="4"/>
      <c r="R9" s="4"/>
      <c r="T9" s="27">
        <v>45881</v>
      </c>
      <c r="U9" s="24">
        <v>511</v>
      </c>
      <c r="V9" s="4">
        <v>827.95</v>
      </c>
      <c r="W9" s="4">
        <f t="shared" si="6"/>
        <v>2636</v>
      </c>
      <c r="X9" s="4">
        <f t="shared" si="7"/>
        <v>3924.95</v>
      </c>
      <c r="Y9" s="4">
        <f t="shared" si="1"/>
        <v>1.4889795144157814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21"/>
      <c r="AL9" s="28"/>
      <c r="AM9" s="56"/>
      <c r="AN9" s="21" t="s">
        <v>51</v>
      </c>
      <c r="AO9" s="11">
        <v>25</v>
      </c>
      <c r="AP9" s="4">
        <v>3</v>
      </c>
      <c r="AQ9" s="11">
        <f t="shared" si="8"/>
        <v>75</v>
      </c>
      <c r="AR9" s="4"/>
      <c r="AS9" s="4"/>
    </row>
    <row r="10" spans="1:45" ht="41.25" customHeight="1" x14ac:dyDescent="0.2">
      <c r="A10" s="4">
        <v>7</v>
      </c>
      <c r="B10" s="10">
        <v>45842</v>
      </c>
      <c r="C10" s="4"/>
      <c r="D10" s="4"/>
      <c r="E10" s="4">
        <f t="shared" si="3"/>
        <v>20</v>
      </c>
      <c r="F10" s="4">
        <v>3</v>
      </c>
      <c r="G10" s="4"/>
      <c r="H10" s="4">
        <f>I10-I9</f>
        <v>3.5</v>
      </c>
      <c r="I10" s="4">
        <f t="shared" si="0"/>
        <v>17</v>
      </c>
      <c r="J10" s="4"/>
      <c r="K10" s="4">
        <v>3</v>
      </c>
      <c r="L10" s="4">
        <f t="shared" si="5"/>
        <v>24</v>
      </c>
      <c r="N10" s="4"/>
      <c r="O10" s="4"/>
      <c r="P10" s="4"/>
      <c r="Q10" s="4"/>
      <c r="R10" s="4"/>
      <c r="T10" s="27">
        <v>45882</v>
      </c>
      <c r="U10" s="24">
        <v>312</v>
      </c>
      <c r="V10" s="4">
        <v>488.1</v>
      </c>
      <c r="W10" s="4">
        <f t="shared" si="6"/>
        <v>2948</v>
      </c>
      <c r="X10" s="4">
        <f t="shared" si="7"/>
        <v>4413.05</v>
      </c>
      <c r="Y10" s="4">
        <f t="shared" si="1"/>
        <v>1.4969640434192673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21"/>
      <c r="AL10" s="28"/>
      <c r="AM10" s="56"/>
      <c r="AN10" s="4" t="s">
        <v>47</v>
      </c>
      <c r="AO10" s="20">
        <v>82</v>
      </c>
      <c r="AP10" s="4">
        <v>3</v>
      </c>
      <c r="AQ10" s="20">
        <f t="shared" si="8"/>
        <v>246</v>
      </c>
      <c r="AR10" s="4"/>
      <c r="AS10" s="4"/>
    </row>
    <row r="11" spans="1:45" ht="41.25" customHeight="1" x14ac:dyDescent="0.2">
      <c r="A11" s="4">
        <v>8</v>
      </c>
      <c r="B11" s="10">
        <v>45843</v>
      </c>
      <c r="C11" s="4">
        <v>10</v>
      </c>
      <c r="D11" s="4"/>
      <c r="E11" s="4">
        <f t="shared" si="3"/>
        <v>30</v>
      </c>
      <c r="F11" s="4">
        <v>10</v>
      </c>
      <c r="G11" s="4"/>
      <c r="H11" s="4">
        <f t="shared" si="4"/>
        <v>3</v>
      </c>
      <c r="I11" s="4">
        <f t="shared" si="0"/>
        <v>20</v>
      </c>
      <c r="J11" s="4"/>
      <c r="K11" s="4">
        <v>5</v>
      </c>
      <c r="L11" s="4">
        <f t="shared" si="5"/>
        <v>29</v>
      </c>
      <c r="N11" s="4"/>
      <c r="O11" s="4"/>
      <c r="P11" s="4"/>
      <c r="Q11" s="4"/>
      <c r="R11" s="4"/>
      <c r="T11" s="27">
        <v>45883</v>
      </c>
      <c r="U11" s="24">
        <v>298</v>
      </c>
      <c r="V11" s="4">
        <v>481.75</v>
      </c>
      <c r="W11" s="4">
        <f t="shared" si="6"/>
        <v>3246</v>
      </c>
      <c r="X11" s="4">
        <f t="shared" si="7"/>
        <v>4894.8</v>
      </c>
      <c r="Y11" s="4">
        <f t="shared" si="1"/>
        <v>1.5079482439926064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21"/>
      <c r="AL11" s="28"/>
      <c r="AM11" s="57"/>
      <c r="AN11" s="21" t="s">
        <v>48</v>
      </c>
      <c r="AO11" s="11">
        <v>40</v>
      </c>
      <c r="AP11" s="4">
        <v>3</v>
      </c>
      <c r="AQ11" s="11">
        <f t="shared" si="8"/>
        <v>120</v>
      </c>
      <c r="AR11" s="4"/>
      <c r="AS11" s="4"/>
    </row>
    <row r="12" spans="1:45" ht="41.25" customHeight="1" x14ac:dyDescent="0.2">
      <c r="A12" s="4">
        <v>9</v>
      </c>
      <c r="B12" s="10">
        <v>45844</v>
      </c>
      <c r="C12" s="4">
        <v>15</v>
      </c>
      <c r="D12" s="4"/>
      <c r="E12" s="4">
        <f t="shared" si="3"/>
        <v>45</v>
      </c>
      <c r="F12" s="4">
        <v>21</v>
      </c>
      <c r="G12" s="4"/>
      <c r="H12" s="4">
        <f t="shared" si="4"/>
        <v>4</v>
      </c>
      <c r="I12" s="4">
        <f t="shared" si="0"/>
        <v>24</v>
      </c>
      <c r="J12" s="4"/>
      <c r="K12" s="4">
        <v>5</v>
      </c>
      <c r="L12" s="4">
        <f t="shared" si="5"/>
        <v>34</v>
      </c>
      <c r="N12" s="4"/>
      <c r="O12" s="4"/>
      <c r="P12" s="4"/>
      <c r="Q12" s="4"/>
      <c r="R12" s="4"/>
      <c r="T12" s="27">
        <v>45884</v>
      </c>
      <c r="U12" s="4">
        <v>411</v>
      </c>
      <c r="V12" s="4">
        <v>715.85</v>
      </c>
      <c r="W12" s="4">
        <f t="shared" si="6"/>
        <v>3657</v>
      </c>
      <c r="X12" s="4">
        <f t="shared" si="7"/>
        <v>5610.6500000000005</v>
      </c>
      <c r="Y12" s="4">
        <f t="shared" si="1"/>
        <v>1.5342220399234348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21"/>
      <c r="AL12" s="28"/>
      <c r="AM12" s="55" t="s">
        <v>55</v>
      </c>
      <c r="AN12" s="21" t="s">
        <v>53</v>
      </c>
      <c r="AO12" s="21">
        <v>1.1000000000000001</v>
      </c>
      <c r="AP12" s="4">
        <v>3</v>
      </c>
      <c r="AQ12" s="21">
        <f t="shared" si="8"/>
        <v>3.3000000000000003</v>
      </c>
      <c r="AR12" s="4"/>
      <c r="AS12" s="4"/>
    </row>
    <row r="13" spans="1:45" ht="41.25" customHeight="1" x14ac:dyDescent="0.2">
      <c r="A13" s="4">
        <v>10</v>
      </c>
      <c r="B13" s="10">
        <v>45845</v>
      </c>
      <c r="C13" s="4"/>
      <c r="D13" s="4"/>
      <c r="E13" s="4">
        <f t="shared" si="3"/>
        <v>45</v>
      </c>
      <c r="F13" s="4">
        <v>17</v>
      </c>
      <c r="G13" s="4"/>
      <c r="H13" s="4">
        <f t="shared" si="4"/>
        <v>4</v>
      </c>
      <c r="I13" s="4">
        <f t="shared" si="0"/>
        <v>28</v>
      </c>
      <c r="J13" s="4"/>
      <c r="K13" s="4">
        <v>15</v>
      </c>
      <c r="L13" s="4">
        <f t="shared" si="5"/>
        <v>49</v>
      </c>
      <c r="N13" s="4"/>
      <c r="O13" s="4"/>
      <c r="P13" s="4"/>
      <c r="Q13" s="4"/>
      <c r="R13" s="4"/>
      <c r="T13" s="27">
        <v>45885</v>
      </c>
      <c r="U13" s="4">
        <v>941</v>
      </c>
      <c r="V13" s="4">
        <v>1594</v>
      </c>
      <c r="W13" s="4">
        <f t="shared" si="6"/>
        <v>4598</v>
      </c>
      <c r="X13" s="4">
        <f t="shared" si="7"/>
        <v>7204.6500000000005</v>
      </c>
      <c r="Y13" s="4">
        <f t="shared" si="1"/>
        <v>1.5669095258808179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21"/>
      <c r="AL13" s="28"/>
      <c r="AM13" s="56"/>
      <c r="AN13" s="21" t="s">
        <v>136</v>
      </c>
      <c r="AO13" s="20">
        <v>110</v>
      </c>
      <c r="AP13" s="4">
        <v>3</v>
      </c>
      <c r="AQ13" s="20">
        <f t="shared" si="8"/>
        <v>330</v>
      </c>
      <c r="AR13" s="4"/>
      <c r="AS13" s="4"/>
    </row>
    <row r="14" spans="1:45" ht="41.25" customHeight="1" x14ac:dyDescent="0.2">
      <c r="A14" s="4">
        <v>11</v>
      </c>
      <c r="B14" s="10">
        <v>45846</v>
      </c>
      <c r="C14" s="4"/>
      <c r="D14" s="4"/>
      <c r="E14" s="4">
        <f t="shared" si="3"/>
        <v>45</v>
      </c>
      <c r="F14" s="4">
        <v>12</v>
      </c>
      <c r="G14" s="4"/>
      <c r="H14" s="4">
        <f t="shared" si="4"/>
        <v>5</v>
      </c>
      <c r="I14" s="4">
        <f t="shared" si="0"/>
        <v>33</v>
      </c>
      <c r="J14" s="4"/>
      <c r="K14" s="4">
        <v>40</v>
      </c>
      <c r="L14" s="4">
        <f t="shared" si="5"/>
        <v>89</v>
      </c>
      <c r="N14" s="4"/>
      <c r="O14" s="4"/>
      <c r="P14" s="4"/>
      <c r="Q14" s="4"/>
      <c r="R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21"/>
      <c r="AL14" s="28"/>
      <c r="AM14" s="57"/>
      <c r="AN14" s="1" t="s">
        <v>48</v>
      </c>
      <c r="AO14" s="11">
        <v>110</v>
      </c>
      <c r="AP14" s="1">
        <v>3</v>
      </c>
      <c r="AQ14" s="11">
        <f t="shared" si="8"/>
        <v>330</v>
      </c>
      <c r="AR14" s="4"/>
      <c r="AS14" s="4"/>
    </row>
    <row r="15" spans="1:45" ht="41.25" customHeight="1" x14ac:dyDescent="0.2">
      <c r="A15" s="4">
        <v>12</v>
      </c>
      <c r="B15" s="10">
        <v>45847</v>
      </c>
      <c r="C15" s="4"/>
      <c r="D15" s="4"/>
      <c r="E15" s="4">
        <f t="shared" si="3"/>
        <v>45</v>
      </c>
      <c r="F15" s="4">
        <v>6</v>
      </c>
      <c r="G15" s="4"/>
      <c r="H15" s="4">
        <f t="shared" si="4"/>
        <v>6</v>
      </c>
      <c r="I15" s="4">
        <f t="shared" si="0"/>
        <v>39</v>
      </c>
      <c r="J15" s="4"/>
      <c r="K15" s="4">
        <v>13</v>
      </c>
      <c r="L15" s="4">
        <f t="shared" si="5"/>
        <v>102</v>
      </c>
      <c r="N15" s="4"/>
      <c r="O15" s="4"/>
      <c r="P15" s="4"/>
      <c r="Q15" s="4"/>
      <c r="R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21"/>
      <c r="AL15" s="28"/>
      <c r="AM15" s="58" t="s">
        <v>57</v>
      </c>
      <c r="AN15" s="4" t="s">
        <v>78</v>
      </c>
      <c r="AO15" s="20">
        <v>175</v>
      </c>
      <c r="AP15" s="4">
        <v>2</v>
      </c>
      <c r="AQ15" s="20">
        <f t="shared" si="8"/>
        <v>350</v>
      </c>
      <c r="AR15" s="4"/>
      <c r="AS15" s="4"/>
    </row>
    <row r="16" spans="1:45" ht="41.25" customHeight="1" x14ac:dyDescent="0.2">
      <c r="A16" s="4">
        <v>13</v>
      </c>
      <c r="B16" s="10">
        <v>45848</v>
      </c>
      <c r="C16" s="4">
        <v>12</v>
      </c>
      <c r="D16" s="4"/>
      <c r="E16" s="4">
        <f t="shared" si="3"/>
        <v>57</v>
      </c>
      <c r="F16" s="4">
        <v>10.5</v>
      </c>
      <c r="G16" s="4"/>
      <c r="H16" s="4">
        <f t="shared" si="4"/>
        <v>7.5</v>
      </c>
      <c r="I16" s="4">
        <f t="shared" si="0"/>
        <v>46.5</v>
      </c>
      <c r="J16" s="4"/>
      <c r="K16" s="4">
        <v>5</v>
      </c>
      <c r="L16" s="4">
        <f t="shared" si="5"/>
        <v>107</v>
      </c>
      <c r="N16" s="4"/>
      <c r="O16" s="4"/>
      <c r="P16" s="4"/>
      <c r="Q16" s="4"/>
      <c r="R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21"/>
      <c r="AL16" s="28"/>
      <c r="AM16" s="59"/>
      <c r="AN16" s="21" t="s">
        <v>53</v>
      </c>
      <c r="AO16" s="21">
        <v>1.1000000000000001</v>
      </c>
      <c r="AP16" s="4">
        <v>2</v>
      </c>
      <c r="AQ16" s="21">
        <f t="shared" si="8"/>
        <v>2.2000000000000002</v>
      </c>
      <c r="AR16" s="4"/>
      <c r="AS16" s="4"/>
    </row>
    <row r="17" spans="1:45" ht="41.25" customHeight="1" x14ac:dyDescent="0.2">
      <c r="A17" s="4">
        <v>14</v>
      </c>
      <c r="B17" s="10">
        <v>45849</v>
      </c>
      <c r="C17" s="4"/>
      <c r="D17" s="4"/>
      <c r="E17" s="4">
        <f t="shared" si="3"/>
        <v>57</v>
      </c>
      <c r="F17" s="4">
        <v>2</v>
      </c>
      <c r="G17" s="4"/>
      <c r="H17" s="4">
        <f t="shared" si="4"/>
        <v>8.5</v>
      </c>
      <c r="I17" s="4">
        <f t="shared" si="0"/>
        <v>55</v>
      </c>
      <c r="J17" s="4"/>
      <c r="K17" s="4">
        <v>8</v>
      </c>
      <c r="L17" s="4">
        <f t="shared" si="5"/>
        <v>115</v>
      </c>
      <c r="N17" s="4"/>
      <c r="O17" s="4"/>
      <c r="P17" s="4"/>
      <c r="Q17" s="4"/>
      <c r="R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21"/>
      <c r="AL17" s="28"/>
      <c r="AM17" s="59"/>
      <c r="AN17" s="1" t="s">
        <v>136</v>
      </c>
      <c r="AO17" s="20">
        <v>110</v>
      </c>
      <c r="AP17" s="1">
        <v>2</v>
      </c>
      <c r="AQ17" s="20">
        <f t="shared" si="8"/>
        <v>220</v>
      </c>
      <c r="AR17" s="4"/>
      <c r="AS17" s="4"/>
    </row>
    <row r="18" spans="1:45" ht="41.25" customHeight="1" x14ac:dyDescent="0.2">
      <c r="A18" s="4">
        <v>15</v>
      </c>
      <c r="B18" s="10">
        <v>45850</v>
      </c>
      <c r="C18" s="4">
        <v>25</v>
      </c>
      <c r="D18" s="4"/>
      <c r="E18" s="4">
        <f t="shared" si="3"/>
        <v>82</v>
      </c>
      <c r="F18" s="4">
        <v>20</v>
      </c>
      <c r="G18" s="4"/>
      <c r="H18" s="4">
        <f t="shared" si="4"/>
        <v>7</v>
      </c>
      <c r="I18" s="4">
        <f t="shared" si="0"/>
        <v>62</v>
      </c>
      <c r="J18" s="4"/>
      <c r="K18" s="4">
        <v>63</v>
      </c>
      <c r="L18" s="4">
        <f t="shared" si="5"/>
        <v>178</v>
      </c>
      <c r="N18" s="4"/>
      <c r="O18" s="4"/>
      <c r="P18" s="4"/>
      <c r="Q18" s="4"/>
      <c r="R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21"/>
      <c r="AL18" s="28"/>
      <c r="AM18" s="60"/>
      <c r="AN18" s="21" t="s">
        <v>48</v>
      </c>
      <c r="AO18" s="11">
        <v>110</v>
      </c>
      <c r="AP18" s="4">
        <v>2</v>
      </c>
      <c r="AQ18" s="11">
        <f>AO18*AP18</f>
        <v>220</v>
      </c>
      <c r="AR18" s="4"/>
      <c r="AS18" s="4"/>
    </row>
    <row r="19" spans="1:45" ht="41.25" customHeight="1" x14ac:dyDescent="0.2">
      <c r="A19" s="4">
        <v>16</v>
      </c>
      <c r="B19" s="10">
        <v>45851</v>
      </c>
      <c r="C19" s="4"/>
      <c r="D19" s="4"/>
      <c r="E19" s="4">
        <f t="shared" si="3"/>
        <v>82</v>
      </c>
      <c r="F19" s="4">
        <v>12</v>
      </c>
      <c r="G19" s="4"/>
      <c r="H19" s="4">
        <f t="shared" si="4"/>
        <v>8</v>
      </c>
      <c r="I19" s="4">
        <f t="shared" si="0"/>
        <v>70</v>
      </c>
      <c r="J19" s="4"/>
      <c r="K19" s="4">
        <v>298</v>
      </c>
      <c r="L19" s="4">
        <f t="shared" si="5"/>
        <v>476</v>
      </c>
      <c r="N19" s="4"/>
      <c r="O19" s="4"/>
      <c r="P19" s="4"/>
      <c r="Q19" s="4"/>
      <c r="R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21"/>
      <c r="AL19" s="28"/>
      <c r="AM19" s="42" t="s">
        <v>59</v>
      </c>
      <c r="AN19" s="1" t="s">
        <v>53</v>
      </c>
      <c r="AO19" s="21">
        <v>1.1000000000000001</v>
      </c>
      <c r="AP19" s="1">
        <v>3</v>
      </c>
      <c r="AQ19" s="21">
        <f t="shared" ref="AQ19:AQ21" si="9">AO19*AP19</f>
        <v>3.3000000000000003</v>
      </c>
      <c r="AR19" s="4"/>
      <c r="AS19" s="4"/>
    </row>
    <row r="20" spans="1:45" ht="41.25" customHeight="1" x14ac:dyDescent="0.2">
      <c r="A20" s="4">
        <v>17</v>
      </c>
      <c r="B20" s="10">
        <v>45852</v>
      </c>
      <c r="C20" s="4"/>
      <c r="D20" s="4"/>
      <c r="E20" s="4">
        <f>E19+C20+D20</f>
        <v>82</v>
      </c>
      <c r="F20" s="4">
        <v>4</v>
      </c>
      <c r="G20" s="4"/>
      <c r="H20" s="4">
        <f t="shared" si="4"/>
        <v>8</v>
      </c>
      <c r="I20" s="4">
        <f t="shared" si="0"/>
        <v>78</v>
      </c>
      <c r="J20" s="4"/>
      <c r="K20" s="4">
        <v>50</v>
      </c>
      <c r="L20" s="4">
        <f t="shared" si="5"/>
        <v>526</v>
      </c>
      <c r="N20" s="4"/>
      <c r="O20" s="4"/>
      <c r="P20" s="4"/>
      <c r="Q20" s="4"/>
      <c r="R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M20" s="43"/>
      <c r="AN20" s="1" t="s">
        <v>61</v>
      </c>
      <c r="AO20" s="20">
        <v>110</v>
      </c>
      <c r="AP20" s="1">
        <v>3</v>
      </c>
      <c r="AQ20" s="20">
        <f t="shared" si="9"/>
        <v>330</v>
      </c>
      <c r="AR20" s="4"/>
      <c r="AS20" s="4"/>
    </row>
    <row r="21" spans="1:45" ht="41.25" customHeight="1" x14ac:dyDescent="0.2">
      <c r="A21" s="4">
        <v>18</v>
      </c>
      <c r="B21" s="10">
        <v>45853</v>
      </c>
      <c r="C21" s="1">
        <v>20</v>
      </c>
      <c r="D21" s="4"/>
      <c r="E21" s="4">
        <f>E20+D21+C21</f>
        <v>102</v>
      </c>
      <c r="F21" s="4">
        <v>15</v>
      </c>
      <c r="G21" s="4"/>
      <c r="H21" s="4">
        <f t="shared" si="4"/>
        <v>9</v>
      </c>
      <c r="I21" s="4">
        <f t="shared" si="0"/>
        <v>87</v>
      </c>
      <c r="J21" s="4"/>
      <c r="K21" s="4">
        <v>17</v>
      </c>
      <c r="L21" s="4">
        <f t="shared" si="5"/>
        <v>543</v>
      </c>
      <c r="N21" s="4"/>
      <c r="O21" s="4"/>
      <c r="P21" s="4"/>
      <c r="Q21" s="4"/>
      <c r="R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M21" s="44"/>
      <c r="AN21" s="21" t="s">
        <v>48</v>
      </c>
      <c r="AO21" s="11">
        <v>137</v>
      </c>
      <c r="AP21" s="4">
        <v>3</v>
      </c>
      <c r="AQ21" s="11">
        <f t="shared" si="9"/>
        <v>411</v>
      </c>
      <c r="AR21" s="4"/>
      <c r="AS21" s="4"/>
    </row>
    <row r="22" spans="1:45" ht="41.25" customHeight="1" x14ac:dyDescent="0.2">
      <c r="A22" s="4">
        <v>19</v>
      </c>
      <c r="B22" s="10">
        <v>45854</v>
      </c>
      <c r="C22" s="4"/>
      <c r="D22" s="4"/>
      <c r="E22" s="4">
        <f t="shared" si="3"/>
        <v>102</v>
      </c>
      <c r="F22" s="4">
        <v>6</v>
      </c>
      <c r="G22" s="4"/>
      <c r="H22" s="4">
        <f t="shared" si="4"/>
        <v>9</v>
      </c>
      <c r="I22" s="4">
        <f t="shared" si="0"/>
        <v>96</v>
      </c>
      <c r="J22" s="4"/>
      <c r="K22" s="4">
        <v>17</v>
      </c>
      <c r="L22" s="4">
        <f t="shared" si="5"/>
        <v>560</v>
      </c>
      <c r="N22" s="4"/>
      <c r="O22" s="4"/>
      <c r="P22" s="4"/>
      <c r="Q22" s="4"/>
      <c r="R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M22" s="42">
        <v>16</v>
      </c>
      <c r="AN22" s="4" t="s">
        <v>53</v>
      </c>
      <c r="AO22" s="21">
        <v>1.1000000000000001</v>
      </c>
      <c r="AP22" s="4">
        <v>1</v>
      </c>
      <c r="AQ22" s="21">
        <f t="shared" ref="AQ22:AQ31" si="10">AO22*AP22</f>
        <v>1.1000000000000001</v>
      </c>
      <c r="AR22" s="4"/>
      <c r="AS22" s="4"/>
    </row>
    <row r="23" spans="1:45" ht="41.25" customHeight="1" x14ac:dyDescent="0.2">
      <c r="A23" s="4">
        <v>20</v>
      </c>
      <c r="B23" s="10">
        <v>45855</v>
      </c>
      <c r="C23" s="4">
        <v>20</v>
      </c>
      <c r="D23" s="4"/>
      <c r="E23" s="4">
        <f t="shared" si="3"/>
        <v>122</v>
      </c>
      <c r="F23" s="4">
        <v>16.5</v>
      </c>
      <c r="G23" s="4"/>
      <c r="H23" s="4">
        <f t="shared" si="4"/>
        <v>9.5</v>
      </c>
      <c r="I23" s="4">
        <f t="shared" si="0"/>
        <v>105.5</v>
      </c>
      <c r="J23" s="4"/>
      <c r="K23" s="4">
        <v>10</v>
      </c>
      <c r="L23" s="4">
        <f t="shared" si="5"/>
        <v>570</v>
      </c>
      <c r="N23" s="4"/>
      <c r="O23" s="4"/>
      <c r="P23" s="4"/>
      <c r="Q23" s="4"/>
      <c r="R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M23" s="43"/>
      <c r="AN23" s="4" t="s">
        <v>61</v>
      </c>
      <c r="AO23" s="20">
        <v>165</v>
      </c>
      <c r="AP23" s="4">
        <v>1</v>
      </c>
      <c r="AQ23" s="4">
        <f t="shared" si="10"/>
        <v>165</v>
      </c>
      <c r="AR23" s="4"/>
      <c r="AS23" s="4"/>
    </row>
    <row r="24" spans="1:45" ht="41.25" customHeight="1" x14ac:dyDescent="0.2">
      <c r="A24" s="4">
        <v>21</v>
      </c>
      <c r="B24" s="10">
        <v>45856</v>
      </c>
      <c r="C24" s="4"/>
      <c r="D24" s="4"/>
      <c r="E24" s="4">
        <f t="shared" si="3"/>
        <v>122</v>
      </c>
      <c r="F24" s="4">
        <v>6</v>
      </c>
      <c r="G24" s="4"/>
      <c r="H24" s="4">
        <f t="shared" si="4"/>
        <v>10.5</v>
      </c>
      <c r="I24" s="4">
        <f t="shared" si="0"/>
        <v>116</v>
      </c>
      <c r="J24" s="4"/>
      <c r="K24" s="4">
        <v>6</v>
      </c>
      <c r="L24" s="4">
        <f t="shared" si="5"/>
        <v>576</v>
      </c>
      <c r="N24" s="4"/>
      <c r="O24" s="4"/>
      <c r="P24" s="4"/>
      <c r="Q24" s="4"/>
      <c r="R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M24" s="43"/>
      <c r="AN24" s="4" t="s">
        <v>48</v>
      </c>
      <c r="AO24" s="11">
        <v>165</v>
      </c>
      <c r="AP24" s="4">
        <v>1</v>
      </c>
      <c r="AQ24" s="11">
        <f t="shared" si="10"/>
        <v>165</v>
      </c>
      <c r="AR24" s="4"/>
      <c r="AS24" s="4"/>
    </row>
    <row r="25" spans="1:45" ht="41.25" customHeight="1" x14ac:dyDescent="0.2">
      <c r="A25" s="4">
        <v>22</v>
      </c>
      <c r="B25" s="10">
        <v>45857</v>
      </c>
      <c r="C25" s="4">
        <v>25</v>
      </c>
      <c r="D25" s="4"/>
      <c r="E25" s="4">
        <f t="shared" si="3"/>
        <v>147</v>
      </c>
      <c r="F25" s="4">
        <v>20</v>
      </c>
      <c r="G25" s="4"/>
      <c r="H25" s="4">
        <f t="shared" si="4"/>
        <v>11</v>
      </c>
      <c r="I25" s="4">
        <f t="shared" si="0"/>
        <v>127</v>
      </c>
      <c r="J25" s="4"/>
      <c r="K25" s="4">
        <v>18</v>
      </c>
      <c r="L25" s="4">
        <f t="shared" si="5"/>
        <v>594</v>
      </c>
      <c r="N25" s="4"/>
      <c r="O25" s="4"/>
      <c r="P25" s="4"/>
      <c r="Q25" s="4"/>
      <c r="R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M25" s="43"/>
      <c r="AN25" s="4" t="s">
        <v>62</v>
      </c>
      <c r="AO25" s="4">
        <v>5</v>
      </c>
      <c r="AP25" s="4">
        <v>1</v>
      </c>
      <c r="AQ25" s="4">
        <f>AO25*AP25</f>
        <v>5</v>
      </c>
      <c r="AR25" s="4"/>
      <c r="AS25" s="4"/>
    </row>
    <row r="26" spans="1:45" ht="41.25" customHeight="1" x14ac:dyDescent="0.2">
      <c r="A26" s="4">
        <v>23</v>
      </c>
      <c r="B26" s="10">
        <v>45858</v>
      </c>
      <c r="C26" s="4">
        <v>30</v>
      </c>
      <c r="D26" s="4"/>
      <c r="E26" s="4">
        <f t="shared" si="3"/>
        <v>177</v>
      </c>
      <c r="F26" s="4">
        <v>39</v>
      </c>
      <c r="G26" s="4"/>
      <c r="H26" s="4">
        <f t="shared" si="4"/>
        <v>11</v>
      </c>
      <c r="I26" s="4">
        <f t="shared" si="0"/>
        <v>138</v>
      </c>
      <c r="J26" s="4"/>
      <c r="K26" s="4">
        <v>12</v>
      </c>
      <c r="L26" s="4">
        <f t="shared" si="5"/>
        <v>606</v>
      </c>
      <c r="N26" s="4"/>
      <c r="O26" s="4"/>
      <c r="P26" s="4"/>
      <c r="Q26" s="4"/>
      <c r="R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M26" s="44"/>
      <c r="AN26" s="4" t="s">
        <v>63</v>
      </c>
      <c r="AO26" s="11">
        <v>385</v>
      </c>
      <c r="AP26" s="4">
        <v>1</v>
      </c>
      <c r="AQ26" s="11">
        <f>AO26*AP26</f>
        <v>385</v>
      </c>
      <c r="AR26" s="4"/>
      <c r="AS26" s="4"/>
    </row>
    <row r="27" spans="1:45" ht="41.25" customHeight="1" x14ac:dyDescent="0.2">
      <c r="A27" s="4">
        <v>24</v>
      </c>
      <c r="B27" s="10">
        <v>45859</v>
      </c>
      <c r="C27" s="4"/>
      <c r="D27" s="4"/>
      <c r="E27" s="4">
        <f t="shared" si="3"/>
        <v>177</v>
      </c>
      <c r="F27" s="4">
        <v>27</v>
      </c>
      <c r="G27" s="4"/>
      <c r="H27" s="4">
        <f t="shared" si="4"/>
        <v>12</v>
      </c>
      <c r="I27" s="4">
        <f t="shared" si="0"/>
        <v>150</v>
      </c>
      <c r="J27" s="4"/>
      <c r="K27" s="4">
        <v>13</v>
      </c>
      <c r="L27" s="4">
        <f t="shared" si="5"/>
        <v>619</v>
      </c>
      <c r="N27" s="4"/>
      <c r="O27" s="4"/>
      <c r="P27" s="4"/>
      <c r="Q27" s="4"/>
      <c r="R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M27" s="42">
        <v>17</v>
      </c>
      <c r="AN27" s="4" t="s">
        <v>53</v>
      </c>
      <c r="AO27" s="21">
        <v>1.1000000000000001</v>
      </c>
      <c r="AP27" s="4">
        <v>1</v>
      </c>
      <c r="AQ27" s="21">
        <f t="shared" si="10"/>
        <v>1.1000000000000001</v>
      </c>
      <c r="AR27" s="4"/>
      <c r="AS27" s="4"/>
    </row>
    <row r="28" spans="1:45" ht="41.25" customHeight="1" x14ac:dyDescent="0.2">
      <c r="A28" s="4">
        <v>25</v>
      </c>
      <c r="B28" s="10">
        <v>45860</v>
      </c>
      <c r="C28" s="4"/>
      <c r="D28" s="4"/>
      <c r="E28" s="4">
        <f t="shared" si="3"/>
        <v>177</v>
      </c>
      <c r="F28" s="4">
        <v>15</v>
      </c>
      <c r="G28" s="4"/>
      <c r="H28" s="4">
        <f t="shared" si="4"/>
        <v>12</v>
      </c>
      <c r="I28" s="4">
        <f t="shared" si="0"/>
        <v>162</v>
      </c>
      <c r="J28" s="4"/>
      <c r="K28" s="4">
        <v>34</v>
      </c>
      <c r="L28" s="4">
        <f t="shared" si="5"/>
        <v>653</v>
      </c>
      <c r="N28" s="4"/>
      <c r="O28" s="4"/>
      <c r="P28" s="4"/>
      <c r="Q28" s="4"/>
      <c r="R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M28" s="43"/>
      <c r="AN28" s="11" t="s">
        <v>48</v>
      </c>
      <c r="AO28" s="11">
        <v>165</v>
      </c>
      <c r="AP28" s="4">
        <v>1</v>
      </c>
      <c r="AQ28" s="11">
        <f t="shared" si="10"/>
        <v>165</v>
      </c>
      <c r="AR28" s="4"/>
      <c r="AS28" s="4"/>
    </row>
    <row r="29" spans="1:45" ht="41.25" customHeight="1" x14ac:dyDescent="0.2">
      <c r="A29" s="4">
        <v>26</v>
      </c>
      <c r="B29" s="10">
        <v>45861</v>
      </c>
      <c r="C29" s="4">
        <v>20</v>
      </c>
      <c r="D29" s="4"/>
      <c r="E29" s="4">
        <f t="shared" si="3"/>
        <v>197</v>
      </c>
      <c r="F29" s="4">
        <v>22</v>
      </c>
      <c r="G29" s="4"/>
      <c r="H29" s="4">
        <f t="shared" si="4"/>
        <v>13</v>
      </c>
      <c r="I29" s="4">
        <f t="shared" si="0"/>
        <v>175</v>
      </c>
      <c r="J29" s="4"/>
      <c r="K29" s="4">
        <v>13</v>
      </c>
      <c r="L29" s="4">
        <f t="shared" si="5"/>
        <v>666</v>
      </c>
      <c r="N29" s="4"/>
      <c r="O29" s="4"/>
      <c r="P29" s="4"/>
      <c r="Q29" s="4"/>
      <c r="R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M29" s="44"/>
      <c r="AN29" s="4" t="s">
        <v>61</v>
      </c>
      <c r="AO29" s="20">
        <v>165</v>
      </c>
      <c r="AP29" s="4">
        <v>1</v>
      </c>
      <c r="AQ29" s="20">
        <f t="shared" si="10"/>
        <v>165</v>
      </c>
      <c r="AR29" s="4"/>
      <c r="AS29" s="4"/>
    </row>
    <row r="30" spans="1:45" ht="41.25" customHeight="1" x14ac:dyDescent="0.2">
      <c r="A30" s="4">
        <v>27</v>
      </c>
      <c r="B30" s="10">
        <v>45862</v>
      </c>
      <c r="C30" s="4"/>
      <c r="D30" s="4"/>
      <c r="E30" s="4">
        <f t="shared" si="3"/>
        <v>197</v>
      </c>
      <c r="F30" s="4">
        <v>8</v>
      </c>
      <c r="G30" s="4"/>
      <c r="H30" s="4">
        <f t="shared" si="4"/>
        <v>14</v>
      </c>
      <c r="I30" s="4">
        <f t="shared" si="0"/>
        <v>189</v>
      </c>
      <c r="J30" s="4"/>
      <c r="K30" s="4">
        <v>7</v>
      </c>
      <c r="L30" s="4">
        <f t="shared" si="5"/>
        <v>673</v>
      </c>
      <c r="N30" s="4"/>
      <c r="O30" s="4"/>
      <c r="P30" s="4"/>
      <c r="Q30" s="4"/>
      <c r="R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M30" s="42" t="s">
        <v>79</v>
      </c>
      <c r="AN30" s="4" t="s">
        <v>45</v>
      </c>
      <c r="AO30" s="20">
        <v>550</v>
      </c>
      <c r="AP30" s="4">
        <v>3</v>
      </c>
      <c r="AQ30" s="20">
        <f t="shared" si="10"/>
        <v>1650</v>
      </c>
      <c r="AR30" s="4"/>
      <c r="AS30" s="4"/>
    </row>
    <row r="31" spans="1:45" ht="41.25" customHeight="1" x14ac:dyDescent="0.2">
      <c r="A31" s="4">
        <v>28</v>
      </c>
      <c r="B31" s="10">
        <v>45863</v>
      </c>
      <c r="C31" s="4">
        <v>20</v>
      </c>
      <c r="D31" s="4"/>
      <c r="E31" s="4">
        <f t="shared" si="3"/>
        <v>217</v>
      </c>
      <c r="F31" s="4">
        <v>14</v>
      </c>
      <c r="G31" s="4"/>
      <c r="H31" s="4">
        <f t="shared" si="4"/>
        <v>14</v>
      </c>
      <c r="I31" s="4">
        <f t="shared" si="0"/>
        <v>203</v>
      </c>
      <c r="J31" s="4"/>
      <c r="K31" s="4">
        <v>4</v>
      </c>
      <c r="L31" s="4">
        <f t="shared" si="5"/>
        <v>677</v>
      </c>
      <c r="N31" s="4"/>
      <c r="O31" s="4"/>
      <c r="P31" s="4"/>
      <c r="Q31" s="4"/>
      <c r="R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M31" s="43"/>
      <c r="AN31" s="4" t="s">
        <v>77</v>
      </c>
      <c r="AO31" s="20">
        <v>385</v>
      </c>
      <c r="AP31" s="4">
        <v>3</v>
      </c>
      <c r="AQ31" s="20">
        <f t="shared" si="10"/>
        <v>1155</v>
      </c>
      <c r="AR31" s="4"/>
      <c r="AS31" s="4"/>
    </row>
    <row r="32" spans="1:45" ht="41.25" customHeight="1" x14ac:dyDescent="0.2">
      <c r="A32" s="4">
        <v>29</v>
      </c>
      <c r="B32" s="10">
        <v>45864</v>
      </c>
      <c r="C32" s="4">
        <v>20</v>
      </c>
      <c r="D32" s="4"/>
      <c r="E32" s="4">
        <f t="shared" si="3"/>
        <v>237</v>
      </c>
      <c r="F32" s="4">
        <v>20</v>
      </c>
      <c r="G32" s="4"/>
      <c r="H32" s="4">
        <f t="shared" si="4"/>
        <v>14</v>
      </c>
      <c r="I32" s="4">
        <f t="shared" si="0"/>
        <v>217</v>
      </c>
      <c r="J32" s="4"/>
      <c r="K32" s="4">
        <v>4</v>
      </c>
      <c r="L32" s="4">
        <f t="shared" si="5"/>
        <v>681</v>
      </c>
      <c r="N32" s="4"/>
      <c r="O32" s="4"/>
      <c r="P32" s="4"/>
      <c r="Q32" s="4"/>
      <c r="R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M32" s="43"/>
      <c r="AN32" s="4" t="s">
        <v>53</v>
      </c>
      <c r="AO32" s="21">
        <v>1.1000000000000001</v>
      </c>
      <c r="AP32" s="4">
        <v>3</v>
      </c>
      <c r="AQ32" s="21">
        <f>AO32*AP32</f>
        <v>3.3000000000000003</v>
      </c>
      <c r="AR32" s="4"/>
      <c r="AS32" s="4"/>
    </row>
    <row r="33" spans="1:45" ht="41.25" customHeight="1" x14ac:dyDescent="0.2">
      <c r="A33" s="4">
        <v>30</v>
      </c>
      <c r="B33" s="10">
        <v>45865</v>
      </c>
      <c r="C33" s="4"/>
      <c r="D33" s="4"/>
      <c r="E33" s="4">
        <f t="shared" si="3"/>
        <v>237</v>
      </c>
      <c r="F33" s="4">
        <v>6</v>
      </c>
      <c r="G33" s="4"/>
      <c r="H33" s="4">
        <f t="shared" si="4"/>
        <v>14</v>
      </c>
      <c r="I33" s="4">
        <f t="shared" si="0"/>
        <v>231</v>
      </c>
      <c r="J33" s="4"/>
      <c r="K33" s="4">
        <v>11</v>
      </c>
      <c r="L33" s="4">
        <f t="shared" si="5"/>
        <v>692</v>
      </c>
      <c r="N33" s="4"/>
      <c r="O33" s="4"/>
      <c r="P33" s="4"/>
      <c r="Q33" s="4"/>
      <c r="R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M33" s="43"/>
      <c r="AN33" s="4" t="s">
        <v>136</v>
      </c>
      <c r="AO33" s="20">
        <v>220</v>
      </c>
      <c r="AP33" s="4">
        <v>1</v>
      </c>
      <c r="AQ33" s="20">
        <f>AO33*AP33</f>
        <v>220</v>
      </c>
      <c r="AR33" s="4"/>
      <c r="AS33" s="4"/>
    </row>
    <row r="34" spans="1:45" ht="41.25" customHeight="1" x14ac:dyDescent="0.2">
      <c r="A34" s="4">
        <v>31</v>
      </c>
      <c r="B34" s="10">
        <v>45866</v>
      </c>
      <c r="C34" s="4">
        <v>20</v>
      </c>
      <c r="D34" s="4"/>
      <c r="E34" s="4">
        <f t="shared" si="3"/>
        <v>257</v>
      </c>
      <c r="F34" s="4">
        <v>16</v>
      </c>
      <c r="G34" s="4"/>
      <c r="H34" s="4">
        <f t="shared" si="4"/>
        <v>10</v>
      </c>
      <c r="I34" s="4">
        <f t="shared" si="0"/>
        <v>241</v>
      </c>
      <c r="J34" s="4"/>
      <c r="K34" s="4">
        <v>16</v>
      </c>
      <c r="L34" s="4">
        <f>L33+K34</f>
        <v>708</v>
      </c>
      <c r="N34" s="4"/>
      <c r="O34" s="4"/>
      <c r="P34" s="4"/>
      <c r="Q34" s="4"/>
      <c r="R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M34" s="44"/>
      <c r="AN34" s="4" t="s">
        <v>48</v>
      </c>
      <c r="AO34" s="11">
        <v>190</v>
      </c>
      <c r="AP34" s="4">
        <v>1</v>
      </c>
      <c r="AQ34" s="11">
        <f>AO34*AP34</f>
        <v>190</v>
      </c>
      <c r="AR34" s="4"/>
      <c r="AS34" s="4"/>
    </row>
    <row r="35" spans="1:45" ht="41.25" customHeight="1" x14ac:dyDescent="0.2">
      <c r="A35" s="4">
        <v>32</v>
      </c>
      <c r="B35" s="10">
        <v>45867</v>
      </c>
      <c r="C35" s="4">
        <v>20</v>
      </c>
      <c r="D35" s="4"/>
      <c r="E35" s="4">
        <f t="shared" si="3"/>
        <v>277</v>
      </c>
      <c r="F35" s="4">
        <v>18</v>
      </c>
      <c r="G35" s="4"/>
      <c r="H35" s="4">
        <f t="shared" si="4"/>
        <v>18</v>
      </c>
      <c r="I35" s="4">
        <f t="shared" si="0"/>
        <v>259</v>
      </c>
      <c r="J35" s="4"/>
      <c r="K35" s="4">
        <v>52</v>
      </c>
      <c r="L35" s="4">
        <f t="shared" si="5"/>
        <v>760</v>
      </c>
      <c r="N35" s="4"/>
      <c r="O35" s="4"/>
      <c r="P35" s="4"/>
      <c r="Q35" s="4"/>
      <c r="R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M35" s="42">
        <v>21</v>
      </c>
      <c r="AN35" s="4" t="s">
        <v>53</v>
      </c>
      <c r="AO35" s="21">
        <v>1.1000000000000001</v>
      </c>
      <c r="AP35" s="4">
        <v>1</v>
      </c>
      <c r="AQ35" s="21">
        <f>AO35*AP35</f>
        <v>1.1000000000000001</v>
      </c>
      <c r="AR35" s="4"/>
      <c r="AS35" s="4"/>
    </row>
    <row r="36" spans="1:45" ht="41.25" customHeight="1" x14ac:dyDescent="0.2">
      <c r="A36" s="4">
        <v>33</v>
      </c>
      <c r="B36" s="10">
        <v>45868</v>
      </c>
      <c r="C36" s="4"/>
      <c r="D36" s="4"/>
      <c r="E36" s="4">
        <f t="shared" si="3"/>
        <v>277</v>
      </c>
      <c r="F36" s="4">
        <v>3</v>
      </c>
      <c r="G36" s="4"/>
      <c r="H36" s="4">
        <f t="shared" si="4"/>
        <v>15</v>
      </c>
      <c r="I36" s="4">
        <f t="shared" si="0"/>
        <v>274</v>
      </c>
      <c r="J36" s="4"/>
      <c r="K36" s="4">
        <v>50</v>
      </c>
      <c r="L36" s="4">
        <f t="shared" si="5"/>
        <v>810</v>
      </c>
      <c r="N36" s="4"/>
      <c r="O36" s="4"/>
      <c r="P36" s="4"/>
      <c r="Q36" s="4"/>
      <c r="R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M36" s="43"/>
      <c r="AN36" s="4" t="s">
        <v>61</v>
      </c>
      <c r="AO36" s="20">
        <v>190</v>
      </c>
      <c r="AP36" s="4">
        <v>1</v>
      </c>
      <c r="AQ36" s="20">
        <f t="shared" ref="AQ36:AQ37" si="11">AO36*AP36</f>
        <v>190</v>
      </c>
      <c r="AR36" s="4"/>
      <c r="AS36" s="4"/>
    </row>
    <row r="37" spans="1:45" ht="41.25" customHeight="1" x14ac:dyDescent="0.2">
      <c r="A37" s="4">
        <v>34</v>
      </c>
      <c r="B37" s="10">
        <v>45869</v>
      </c>
      <c r="C37" s="4">
        <v>20</v>
      </c>
      <c r="D37" s="4"/>
      <c r="E37" s="4">
        <f t="shared" si="3"/>
        <v>297</v>
      </c>
      <c r="F37" s="4">
        <v>8</v>
      </c>
      <c r="G37" s="4"/>
      <c r="H37" s="4">
        <f t="shared" si="4"/>
        <v>15</v>
      </c>
      <c r="I37" s="4">
        <f t="shared" si="0"/>
        <v>289</v>
      </c>
      <c r="J37" s="4"/>
      <c r="K37" s="4">
        <v>43</v>
      </c>
      <c r="L37" s="4">
        <f t="shared" si="5"/>
        <v>853</v>
      </c>
      <c r="N37" s="4"/>
      <c r="O37" s="4"/>
      <c r="P37" s="4"/>
      <c r="Q37" s="4"/>
      <c r="R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M37" s="44"/>
      <c r="AN37" s="4" t="s">
        <v>48</v>
      </c>
      <c r="AO37" s="11">
        <v>190</v>
      </c>
      <c r="AP37" s="4">
        <v>1</v>
      </c>
      <c r="AQ37" s="11">
        <f t="shared" si="11"/>
        <v>190</v>
      </c>
      <c r="AR37" s="4"/>
      <c r="AS37" s="4"/>
    </row>
    <row r="38" spans="1:45" ht="41.25" customHeight="1" x14ac:dyDescent="0.2">
      <c r="A38" s="4">
        <v>35</v>
      </c>
      <c r="B38" s="10">
        <v>45870</v>
      </c>
      <c r="C38" s="22">
        <v>25</v>
      </c>
      <c r="D38" s="4">
        <v>10</v>
      </c>
      <c r="E38" s="4">
        <f t="shared" si="3"/>
        <v>332</v>
      </c>
      <c r="F38" s="4">
        <v>38</v>
      </c>
      <c r="G38" s="4">
        <v>10</v>
      </c>
      <c r="H38" s="4">
        <f t="shared" si="4"/>
        <v>-5</v>
      </c>
      <c r="I38" s="4">
        <f t="shared" si="0"/>
        <v>284</v>
      </c>
      <c r="J38" s="4"/>
      <c r="K38" s="4">
        <v>17</v>
      </c>
      <c r="L38" s="4">
        <f t="shared" si="5"/>
        <v>870</v>
      </c>
      <c r="N38" s="4"/>
      <c r="O38" s="4"/>
      <c r="P38" s="4"/>
      <c r="Q38" s="4"/>
      <c r="R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M38" s="61">
        <v>22</v>
      </c>
      <c r="AN38" s="4" t="s">
        <v>53</v>
      </c>
      <c r="AO38" s="21">
        <v>1.1000000000000001</v>
      </c>
      <c r="AP38" s="4">
        <v>1</v>
      </c>
      <c r="AQ38" s="21">
        <f>AP38*AO38</f>
        <v>1.1000000000000001</v>
      </c>
      <c r="AR38" s="4"/>
      <c r="AS38" s="4"/>
    </row>
    <row r="39" spans="1:45" ht="41.25" customHeight="1" x14ac:dyDescent="0.2">
      <c r="A39" s="4">
        <v>36</v>
      </c>
      <c r="B39" s="10">
        <v>45871</v>
      </c>
      <c r="C39" s="4"/>
      <c r="D39" s="4"/>
      <c r="E39" s="4">
        <f t="shared" si="3"/>
        <v>332</v>
      </c>
      <c r="F39" s="4">
        <v>29</v>
      </c>
      <c r="G39" s="4">
        <v>7</v>
      </c>
      <c r="H39" s="4">
        <f t="shared" si="4"/>
        <v>12</v>
      </c>
      <c r="I39" s="4">
        <f t="shared" si="0"/>
        <v>296</v>
      </c>
      <c r="J39" s="4"/>
      <c r="K39" s="4">
        <v>4</v>
      </c>
      <c r="L39" s="4">
        <f t="shared" si="5"/>
        <v>874</v>
      </c>
      <c r="N39" s="4"/>
      <c r="O39" s="4"/>
      <c r="P39" s="4"/>
      <c r="Q39" s="4"/>
      <c r="R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M39" s="62"/>
      <c r="AN39" s="4" t="s">
        <v>61</v>
      </c>
      <c r="AO39" s="20">
        <v>220</v>
      </c>
      <c r="AP39" s="4">
        <v>1</v>
      </c>
      <c r="AQ39" s="20">
        <f t="shared" ref="AQ39:AQ50" si="12">AO39*AP39</f>
        <v>220</v>
      </c>
      <c r="AR39" s="4"/>
      <c r="AS39" s="4"/>
    </row>
    <row r="40" spans="1:45" ht="41.25" customHeight="1" x14ac:dyDescent="0.2">
      <c r="A40" s="4">
        <v>37</v>
      </c>
      <c r="B40" s="10">
        <v>45872</v>
      </c>
      <c r="C40" s="4"/>
      <c r="D40" s="4"/>
      <c r="E40" s="4">
        <f t="shared" si="3"/>
        <v>332</v>
      </c>
      <c r="F40" s="4">
        <v>16</v>
      </c>
      <c r="G40" s="4">
        <v>4</v>
      </c>
      <c r="H40" s="4">
        <f t="shared" si="4"/>
        <v>16</v>
      </c>
      <c r="I40" s="4">
        <f t="shared" si="0"/>
        <v>312</v>
      </c>
      <c r="J40" s="4"/>
      <c r="K40" s="4">
        <v>15</v>
      </c>
      <c r="L40" s="4">
        <f t="shared" si="5"/>
        <v>889</v>
      </c>
      <c r="N40" s="4"/>
      <c r="O40" s="4"/>
      <c r="P40" s="4"/>
      <c r="Q40" s="4"/>
      <c r="R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M40" s="62"/>
      <c r="AN40" s="4" t="s">
        <v>48</v>
      </c>
      <c r="AO40" s="11">
        <v>190</v>
      </c>
      <c r="AP40" s="4">
        <v>1</v>
      </c>
      <c r="AQ40" s="11">
        <f t="shared" si="12"/>
        <v>190</v>
      </c>
      <c r="AR40" s="4"/>
      <c r="AS40" s="4"/>
    </row>
    <row r="41" spans="1:45" ht="41.25" customHeight="1" x14ac:dyDescent="0.2">
      <c r="A41" s="4">
        <v>38</v>
      </c>
      <c r="B41" s="10">
        <v>45873</v>
      </c>
      <c r="C41" s="4">
        <v>15</v>
      </c>
      <c r="D41" s="4"/>
      <c r="E41" s="4">
        <f t="shared" si="3"/>
        <v>347</v>
      </c>
      <c r="F41" s="4">
        <v>22</v>
      </c>
      <c r="G41" s="4">
        <v>1</v>
      </c>
      <c r="H41" s="4">
        <f t="shared" si="4"/>
        <v>12</v>
      </c>
      <c r="I41" s="4">
        <f t="shared" si="0"/>
        <v>324</v>
      </c>
      <c r="J41" s="4"/>
      <c r="K41" s="4">
        <v>11</v>
      </c>
      <c r="L41" s="4">
        <f t="shared" si="5"/>
        <v>900</v>
      </c>
      <c r="N41" s="4"/>
      <c r="O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M41" s="62"/>
      <c r="AN41" s="4" t="s">
        <v>62</v>
      </c>
      <c r="AO41" s="4">
        <v>5</v>
      </c>
      <c r="AP41" s="4">
        <v>1</v>
      </c>
      <c r="AQ41" s="4">
        <f t="shared" si="12"/>
        <v>5</v>
      </c>
      <c r="AR41" s="4"/>
      <c r="AS41" s="4"/>
    </row>
    <row r="42" spans="1:45" ht="41.25" customHeight="1" x14ac:dyDescent="0.2">
      <c r="A42" s="4">
        <v>39</v>
      </c>
      <c r="B42" s="10">
        <v>45874</v>
      </c>
      <c r="C42" s="4"/>
      <c r="D42" s="4"/>
      <c r="E42" s="4">
        <f t="shared" si="3"/>
        <v>347</v>
      </c>
      <c r="F42" s="4">
        <v>13</v>
      </c>
      <c r="G42" s="4"/>
      <c r="H42" s="4">
        <f t="shared" si="4"/>
        <v>10</v>
      </c>
      <c r="I42" s="4">
        <f t="shared" si="0"/>
        <v>334</v>
      </c>
      <c r="J42" s="4"/>
      <c r="K42" s="4">
        <v>7</v>
      </c>
      <c r="L42" s="4">
        <f t="shared" si="5"/>
        <v>907</v>
      </c>
      <c r="N42" s="4"/>
      <c r="O42" s="4"/>
      <c r="P42" s="4"/>
      <c r="Q42" s="4"/>
      <c r="R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M42" s="63"/>
      <c r="AN42" s="4" t="s">
        <v>63</v>
      </c>
      <c r="AO42" s="11">
        <v>125</v>
      </c>
      <c r="AP42" s="4">
        <v>1</v>
      </c>
      <c r="AQ42" s="11">
        <f t="shared" si="12"/>
        <v>125</v>
      </c>
      <c r="AR42" s="4"/>
      <c r="AS42" s="4"/>
    </row>
    <row r="43" spans="1:45" ht="41.25" customHeight="1" x14ac:dyDescent="0.2">
      <c r="A43" s="4">
        <v>40</v>
      </c>
      <c r="B43" s="10">
        <v>45875</v>
      </c>
      <c r="C43" s="4">
        <v>15</v>
      </c>
      <c r="D43" s="4">
        <v>5</v>
      </c>
      <c r="E43" s="4">
        <f t="shared" si="3"/>
        <v>367</v>
      </c>
      <c r="F43" s="4">
        <v>17</v>
      </c>
      <c r="G43" s="4">
        <v>5</v>
      </c>
      <c r="H43" s="4">
        <f t="shared" si="4"/>
        <v>11</v>
      </c>
      <c r="I43" s="4">
        <f t="shared" si="0"/>
        <v>345</v>
      </c>
      <c r="J43" s="4"/>
      <c r="K43" s="4">
        <v>5</v>
      </c>
      <c r="L43" s="4">
        <f t="shared" si="5"/>
        <v>912</v>
      </c>
      <c r="N43" s="4"/>
      <c r="O43" s="4"/>
      <c r="P43" s="4"/>
      <c r="Q43" s="4"/>
      <c r="R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M43" s="42" t="s">
        <v>152</v>
      </c>
      <c r="AN43" s="4" t="s">
        <v>53</v>
      </c>
      <c r="AO43" s="21">
        <v>1.37</v>
      </c>
      <c r="AP43" s="4">
        <v>2</v>
      </c>
      <c r="AQ43" s="21">
        <f t="shared" si="12"/>
        <v>2.74</v>
      </c>
      <c r="AR43" s="4"/>
      <c r="AS43" s="4"/>
    </row>
    <row r="44" spans="1:45" ht="41.25" customHeight="1" x14ac:dyDescent="0.2">
      <c r="A44" s="4">
        <v>41</v>
      </c>
      <c r="B44" s="10">
        <v>45876</v>
      </c>
      <c r="C44" s="4">
        <v>16</v>
      </c>
      <c r="D44" s="4">
        <v>5</v>
      </c>
      <c r="E44" s="4">
        <f t="shared" si="3"/>
        <v>388</v>
      </c>
      <c r="F44" s="4">
        <v>23</v>
      </c>
      <c r="G44" s="4">
        <v>7</v>
      </c>
      <c r="H44" s="4">
        <f t="shared" si="4"/>
        <v>13</v>
      </c>
      <c r="I44" s="4">
        <f t="shared" si="0"/>
        <v>358</v>
      </c>
      <c r="J44" s="4"/>
      <c r="K44" s="4">
        <v>3</v>
      </c>
      <c r="L44" s="4">
        <f t="shared" si="5"/>
        <v>915</v>
      </c>
      <c r="N44" s="4"/>
      <c r="O44" s="4"/>
      <c r="P44" s="4"/>
      <c r="Q44" s="4"/>
      <c r="R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M44" s="43"/>
      <c r="AN44" s="4" t="s">
        <v>136</v>
      </c>
      <c r="AO44" s="20">
        <v>190</v>
      </c>
      <c r="AP44" s="4">
        <v>2</v>
      </c>
      <c r="AQ44" s="20">
        <f t="shared" si="12"/>
        <v>380</v>
      </c>
      <c r="AR44" s="4"/>
      <c r="AS44" s="4"/>
    </row>
    <row r="45" spans="1:45" ht="41.25" customHeight="1" x14ac:dyDescent="0.2">
      <c r="A45" s="4">
        <v>42</v>
      </c>
      <c r="B45" s="10">
        <v>45877</v>
      </c>
      <c r="C45" s="4"/>
      <c r="D45" s="4"/>
      <c r="E45" s="4">
        <f t="shared" si="3"/>
        <v>388</v>
      </c>
      <c r="F45" s="4">
        <v>14</v>
      </c>
      <c r="G45" s="4">
        <v>5</v>
      </c>
      <c r="H45" s="4">
        <f t="shared" si="4"/>
        <v>11</v>
      </c>
      <c r="I45" s="4">
        <f t="shared" si="0"/>
        <v>369</v>
      </c>
      <c r="J45" s="4"/>
      <c r="K45" s="4">
        <v>11</v>
      </c>
      <c r="L45" s="4">
        <f t="shared" si="5"/>
        <v>926</v>
      </c>
      <c r="N45" s="4"/>
      <c r="O45" s="4"/>
      <c r="P45" s="4"/>
      <c r="Q45" s="4"/>
      <c r="R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M45" s="43"/>
      <c r="AN45" s="4" t="s">
        <v>48</v>
      </c>
      <c r="AO45" s="11">
        <v>190</v>
      </c>
      <c r="AP45" s="4">
        <v>2</v>
      </c>
      <c r="AQ45" s="11">
        <f>AP45*AO45</f>
        <v>380</v>
      </c>
      <c r="AR45" s="4"/>
      <c r="AS45" s="4"/>
    </row>
    <row r="46" spans="1:45" ht="41.25" customHeight="1" x14ac:dyDescent="0.2">
      <c r="A46" s="4">
        <v>43</v>
      </c>
      <c r="B46" s="10">
        <v>45878</v>
      </c>
      <c r="C46" s="4">
        <v>6</v>
      </c>
      <c r="D46" s="4">
        <v>5</v>
      </c>
      <c r="E46" s="4">
        <f t="shared" si="3"/>
        <v>399</v>
      </c>
      <c r="F46" s="4">
        <v>12</v>
      </c>
      <c r="G46" s="4">
        <v>7</v>
      </c>
      <c r="H46" s="4">
        <f t="shared" si="4"/>
        <v>11</v>
      </c>
      <c r="I46" s="4">
        <f t="shared" si="0"/>
        <v>380</v>
      </c>
      <c r="J46" s="4"/>
      <c r="K46" s="4">
        <v>11</v>
      </c>
      <c r="L46" s="4">
        <f t="shared" si="5"/>
        <v>937</v>
      </c>
      <c r="N46" s="4"/>
      <c r="O46" s="4"/>
      <c r="P46" s="4"/>
      <c r="Q46" s="4"/>
      <c r="R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M46" s="41"/>
      <c r="AN46" s="4"/>
      <c r="AO46" s="11"/>
      <c r="AP46" s="4"/>
      <c r="AQ46" s="11"/>
      <c r="AR46" s="4"/>
      <c r="AS46" s="4"/>
    </row>
    <row r="47" spans="1:45" ht="41.25" customHeight="1" x14ac:dyDescent="0.2">
      <c r="A47" s="4">
        <v>44</v>
      </c>
      <c r="B47" s="10">
        <v>45879</v>
      </c>
      <c r="C47" s="4">
        <v>10</v>
      </c>
      <c r="D47" s="4">
        <v>5</v>
      </c>
      <c r="E47" s="4">
        <f t="shared" si="3"/>
        <v>414</v>
      </c>
      <c r="F47" s="4">
        <v>10</v>
      </c>
      <c r="G47" s="4">
        <v>8</v>
      </c>
      <c r="H47" s="4">
        <f t="shared" si="4"/>
        <v>16</v>
      </c>
      <c r="I47" s="4">
        <f t="shared" si="0"/>
        <v>396</v>
      </c>
      <c r="J47" s="4"/>
      <c r="K47" s="4">
        <v>10</v>
      </c>
      <c r="L47" s="4">
        <f t="shared" si="5"/>
        <v>947</v>
      </c>
      <c r="N47" s="4"/>
      <c r="O47" s="4"/>
      <c r="P47" s="4"/>
      <c r="Q47" s="4"/>
      <c r="R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M47" s="48" t="s">
        <v>68</v>
      </c>
      <c r="AN47" s="4" t="s">
        <v>67</v>
      </c>
      <c r="AO47" s="21">
        <v>3</v>
      </c>
      <c r="AP47" s="4">
        <v>3</v>
      </c>
      <c r="AQ47" s="21">
        <f t="shared" si="12"/>
        <v>9</v>
      </c>
      <c r="AR47" s="4"/>
      <c r="AS47" s="4"/>
    </row>
    <row r="48" spans="1:45" ht="41.25" customHeight="1" x14ac:dyDescent="0.2">
      <c r="A48" s="4">
        <v>45</v>
      </c>
      <c r="B48" s="10">
        <v>45880</v>
      </c>
      <c r="C48" s="4"/>
      <c r="D48" s="4"/>
      <c r="E48" s="4">
        <f t="shared" si="3"/>
        <v>414</v>
      </c>
      <c r="F48" s="4">
        <v>9</v>
      </c>
      <c r="G48" s="4">
        <v>5</v>
      </c>
      <c r="H48" s="4">
        <f t="shared" si="4"/>
        <v>4</v>
      </c>
      <c r="I48" s="4">
        <f t="shared" si="0"/>
        <v>400</v>
      </c>
      <c r="J48" s="4"/>
      <c r="K48" s="4">
        <v>10</v>
      </c>
      <c r="L48" s="4">
        <f t="shared" si="5"/>
        <v>957</v>
      </c>
      <c r="N48" s="4"/>
      <c r="O48" s="4"/>
      <c r="P48" s="4"/>
      <c r="Q48" s="4"/>
      <c r="R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M48" s="48"/>
      <c r="AN48" s="4" t="s">
        <v>111</v>
      </c>
      <c r="AO48" s="11">
        <v>140</v>
      </c>
      <c r="AP48" s="4">
        <v>3</v>
      </c>
      <c r="AQ48" s="11">
        <f t="shared" si="12"/>
        <v>420</v>
      </c>
      <c r="AR48" s="4"/>
      <c r="AS48" s="4"/>
    </row>
    <row r="49" spans="1:45" ht="41.25" customHeight="1" x14ac:dyDescent="0.2">
      <c r="A49" s="4">
        <v>46</v>
      </c>
      <c r="B49" s="10">
        <v>45881</v>
      </c>
      <c r="C49" s="4"/>
      <c r="D49" s="4"/>
      <c r="E49" s="4">
        <f t="shared" si="3"/>
        <v>414</v>
      </c>
      <c r="F49" s="4">
        <v>5</v>
      </c>
      <c r="G49" s="4">
        <v>2</v>
      </c>
      <c r="H49" s="4">
        <f t="shared" si="4"/>
        <v>7</v>
      </c>
      <c r="I49" s="4">
        <f t="shared" si="0"/>
        <v>407</v>
      </c>
      <c r="J49" s="4"/>
      <c r="K49" s="4">
        <v>10</v>
      </c>
      <c r="L49" s="4">
        <f t="shared" si="5"/>
        <v>967</v>
      </c>
      <c r="N49" s="4"/>
      <c r="O49" s="4"/>
      <c r="P49" s="4"/>
      <c r="Q49" s="4"/>
      <c r="R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M49" s="48" t="s">
        <v>110</v>
      </c>
      <c r="AN49" s="4" t="s">
        <v>53</v>
      </c>
      <c r="AO49" s="21">
        <v>3</v>
      </c>
      <c r="AP49" s="4">
        <v>3</v>
      </c>
      <c r="AQ49" s="21">
        <f t="shared" si="12"/>
        <v>9</v>
      </c>
      <c r="AR49" s="4"/>
      <c r="AS49" s="4"/>
    </row>
    <row r="50" spans="1:45" ht="41.25" customHeight="1" x14ac:dyDescent="0.2">
      <c r="A50" s="4">
        <v>47</v>
      </c>
      <c r="B50" s="10">
        <v>45882</v>
      </c>
      <c r="C50" s="4">
        <v>5</v>
      </c>
      <c r="D50" s="4"/>
      <c r="E50" s="4">
        <f t="shared" si="3"/>
        <v>419</v>
      </c>
      <c r="F50" s="4">
        <v>6</v>
      </c>
      <c r="G50" s="4">
        <v>0.5</v>
      </c>
      <c r="H50" s="4">
        <f t="shared" si="4"/>
        <v>5.5</v>
      </c>
      <c r="I50" s="4">
        <f>E50-F50-G50</f>
        <v>412.5</v>
      </c>
      <c r="J50" s="4"/>
      <c r="K50" s="4">
        <v>3</v>
      </c>
      <c r="L50" s="4">
        <f t="shared" si="5"/>
        <v>970</v>
      </c>
      <c r="N50" s="4"/>
      <c r="O50" s="4"/>
      <c r="P50" s="4"/>
      <c r="Q50" s="4"/>
      <c r="R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M50" s="48"/>
      <c r="AN50" s="4" t="s">
        <v>48</v>
      </c>
      <c r="AO50" s="11">
        <v>180</v>
      </c>
      <c r="AP50" s="4">
        <v>3</v>
      </c>
      <c r="AQ50" s="11">
        <f t="shared" si="12"/>
        <v>540</v>
      </c>
      <c r="AR50" s="4"/>
      <c r="AS50" s="4"/>
    </row>
    <row r="51" spans="1:45" ht="41.25" customHeight="1" x14ac:dyDescent="0.2">
      <c r="A51" s="4">
        <v>48</v>
      </c>
      <c r="B51" s="10">
        <v>45883</v>
      </c>
      <c r="C51" s="4">
        <v>5</v>
      </c>
      <c r="D51" s="4"/>
      <c r="E51" s="4">
        <f t="shared" si="3"/>
        <v>424</v>
      </c>
      <c r="F51" s="4">
        <v>6.5</v>
      </c>
      <c r="G51" s="4"/>
      <c r="H51" s="4">
        <f t="shared" si="4"/>
        <v>5</v>
      </c>
      <c r="I51" s="4">
        <f t="shared" si="0"/>
        <v>417.5</v>
      </c>
      <c r="J51" s="4"/>
      <c r="K51" s="4">
        <v>4</v>
      </c>
      <c r="L51" s="4">
        <f t="shared" si="5"/>
        <v>974</v>
      </c>
      <c r="N51" s="4"/>
      <c r="O51" s="4"/>
      <c r="P51" s="4"/>
      <c r="Q51" s="4"/>
      <c r="R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M51" s="48"/>
      <c r="AN51" s="4" t="s">
        <v>72</v>
      </c>
      <c r="AO51" s="20">
        <v>200</v>
      </c>
      <c r="AP51" s="4">
        <v>3</v>
      </c>
      <c r="AQ51" s="20">
        <f>AO51*AP51</f>
        <v>600</v>
      </c>
      <c r="AR51" s="4"/>
      <c r="AS51" s="4"/>
    </row>
    <row r="52" spans="1:45" ht="41.25" customHeight="1" x14ac:dyDescent="0.2">
      <c r="A52" s="4">
        <v>49</v>
      </c>
      <c r="B52" s="10">
        <v>45884</v>
      </c>
      <c r="C52" s="4">
        <v>5</v>
      </c>
      <c r="D52" s="4"/>
      <c r="E52" s="4">
        <f t="shared" si="3"/>
        <v>429</v>
      </c>
      <c r="F52" s="4">
        <v>7</v>
      </c>
      <c r="G52" s="4"/>
      <c r="H52" s="4">
        <f t="shared" si="4"/>
        <v>4.5</v>
      </c>
      <c r="I52" s="4">
        <f t="shared" si="0"/>
        <v>422</v>
      </c>
      <c r="J52" s="4"/>
      <c r="K52" s="4">
        <v>1</v>
      </c>
      <c r="L52" s="4">
        <f t="shared" si="5"/>
        <v>975</v>
      </c>
      <c r="N52" s="4"/>
      <c r="O52" s="4"/>
      <c r="P52" s="4"/>
      <c r="Q52" s="4"/>
      <c r="R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M52" s="48">
        <v>27</v>
      </c>
      <c r="AN52" s="4" t="s">
        <v>53</v>
      </c>
      <c r="AO52" s="21">
        <v>3</v>
      </c>
      <c r="AP52" s="4">
        <v>3</v>
      </c>
      <c r="AQ52" s="21">
        <f t="shared" ref="AQ52:AQ53" si="13">AO52*AP52</f>
        <v>9</v>
      </c>
      <c r="AR52" s="36"/>
      <c r="AS52" s="4"/>
    </row>
    <row r="53" spans="1:45" ht="41.25" customHeight="1" x14ac:dyDescent="0.2">
      <c r="A53" s="4">
        <v>50</v>
      </c>
      <c r="B53" s="10">
        <v>45885</v>
      </c>
      <c r="C53" s="4"/>
      <c r="D53" s="4"/>
      <c r="E53" s="4">
        <f t="shared" si="3"/>
        <v>429</v>
      </c>
      <c r="F53" s="4">
        <v>3</v>
      </c>
      <c r="G53" s="4"/>
      <c r="H53" s="4">
        <f t="shared" si="4"/>
        <v>4</v>
      </c>
      <c r="I53" s="4">
        <f t="shared" si="0"/>
        <v>426</v>
      </c>
      <c r="J53" s="4"/>
      <c r="K53" s="4">
        <v>2</v>
      </c>
      <c r="L53" s="4">
        <f t="shared" si="5"/>
        <v>977</v>
      </c>
      <c r="N53" s="4"/>
      <c r="O53" s="4"/>
      <c r="P53" s="4"/>
      <c r="Q53" s="4"/>
      <c r="R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M53" s="48"/>
      <c r="AN53" s="4" t="s">
        <v>48</v>
      </c>
      <c r="AO53" s="11">
        <v>180</v>
      </c>
      <c r="AP53" s="4">
        <v>3</v>
      </c>
      <c r="AQ53" s="11">
        <f t="shared" si="13"/>
        <v>540</v>
      </c>
      <c r="AR53" s="36"/>
      <c r="AS53" s="4"/>
    </row>
    <row r="54" spans="1:45" ht="41.25" customHeight="1" x14ac:dyDescent="0.2">
      <c r="AE54" s="4"/>
      <c r="AF54" s="4"/>
      <c r="AG54" s="4"/>
      <c r="AH54" s="4"/>
      <c r="AI54" s="4"/>
      <c r="AJ54" s="4"/>
      <c r="AK54" s="4"/>
      <c r="AM54" s="48"/>
      <c r="AN54" s="4" t="s">
        <v>72</v>
      </c>
      <c r="AO54" s="20">
        <v>200</v>
      </c>
      <c r="AP54" s="4">
        <v>1</v>
      </c>
      <c r="AQ54" s="20">
        <f>AO54*AP54</f>
        <v>200</v>
      </c>
      <c r="AR54" s="4"/>
      <c r="AS54" s="4"/>
    </row>
    <row r="55" spans="1:45" ht="41.25" customHeight="1" x14ac:dyDescent="0.2">
      <c r="AE55" s="4"/>
      <c r="AF55" s="4"/>
      <c r="AG55" s="4"/>
      <c r="AH55" s="4"/>
      <c r="AI55" s="4"/>
      <c r="AJ55" s="4"/>
      <c r="AK55" s="4"/>
      <c r="AM55" s="48"/>
      <c r="AN55" s="4" t="s">
        <v>84</v>
      </c>
      <c r="AO55" s="20">
        <v>400</v>
      </c>
      <c r="AP55" s="4">
        <v>1</v>
      </c>
      <c r="AQ55" s="20">
        <f t="shared" ref="AQ55:AQ67" si="14">AO55*AP55</f>
        <v>400</v>
      </c>
      <c r="AR55" s="4"/>
      <c r="AS55" s="4"/>
    </row>
    <row r="56" spans="1:45" ht="41.25" customHeight="1" x14ac:dyDescent="0.2">
      <c r="AM56" s="48"/>
      <c r="AN56" s="4" t="s">
        <v>85</v>
      </c>
      <c r="AO56" s="20">
        <v>360</v>
      </c>
      <c r="AP56" s="4">
        <v>1</v>
      </c>
      <c r="AQ56" s="20">
        <f t="shared" si="14"/>
        <v>360</v>
      </c>
      <c r="AR56" s="4"/>
      <c r="AS56" s="4"/>
    </row>
    <row r="57" spans="1:45" ht="41.25" customHeight="1" x14ac:dyDescent="0.2">
      <c r="AM57" s="48"/>
      <c r="AN57" s="4" t="s">
        <v>62</v>
      </c>
      <c r="AO57" s="20">
        <v>360</v>
      </c>
      <c r="AP57" s="4">
        <v>1</v>
      </c>
      <c r="AQ57" s="20">
        <f t="shared" si="14"/>
        <v>360</v>
      </c>
      <c r="AR57" s="4"/>
      <c r="AS57" s="4"/>
    </row>
    <row r="58" spans="1:45" ht="41.25" customHeight="1" x14ac:dyDescent="0.2">
      <c r="AM58" s="48"/>
      <c r="AN58" s="4" t="s">
        <v>69</v>
      </c>
      <c r="AO58" s="4">
        <v>3</v>
      </c>
      <c r="AP58" s="4">
        <v>1</v>
      </c>
      <c r="AQ58" s="11">
        <f t="shared" si="14"/>
        <v>3</v>
      </c>
      <c r="AR58" s="4"/>
      <c r="AS58" s="4"/>
    </row>
    <row r="59" spans="1:45" ht="41.25" customHeight="1" x14ac:dyDescent="0.2">
      <c r="AM59" s="48"/>
      <c r="AN59" s="4" t="s">
        <v>63</v>
      </c>
      <c r="AO59" s="11">
        <v>380</v>
      </c>
      <c r="AP59" s="4">
        <v>1</v>
      </c>
      <c r="AQ59" s="11">
        <f t="shared" si="14"/>
        <v>380</v>
      </c>
      <c r="AR59" s="4"/>
      <c r="AS59" s="4"/>
    </row>
    <row r="60" spans="1:45" ht="41.25" customHeight="1" x14ac:dyDescent="0.2">
      <c r="AM60" s="48" t="s">
        <v>146</v>
      </c>
      <c r="AN60" s="4" t="s">
        <v>67</v>
      </c>
      <c r="AO60" s="21">
        <v>3</v>
      </c>
      <c r="AP60" s="4">
        <v>3</v>
      </c>
      <c r="AQ60" s="21">
        <f t="shared" si="14"/>
        <v>9</v>
      </c>
      <c r="AR60" s="4"/>
      <c r="AS60" s="4"/>
    </row>
    <row r="61" spans="1:45" ht="41.25" customHeight="1" x14ac:dyDescent="0.2">
      <c r="AM61" s="48"/>
      <c r="AN61" s="4" t="s">
        <v>48</v>
      </c>
      <c r="AO61" s="11">
        <v>170</v>
      </c>
      <c r="AP61" s="4">
        <v>3</v>
      </c>
      <c r="AQ61" s="11">
        <f t="shared" si="14"/>
        <v>510</v>
      </c>
      <c r="AR61" s="4"/>
      <c r="AS61" s="4"/>
    </row>
    <row r="62" spans="1:45" ht="41.25" customHeight="1" x14ac:dyDescent="0.2">
      <c r="AM62" s="48"/>
      <c r="AN62" s="4" t="s">
        <v>136</v>
      </c>
      <c r="AO62" s="20">
        <v>360</v>
      </c>
      <c r="AP62" s="4">
        <v>3</v>
      </c>
      <c r="AQ62" s="20">
        <f t="shared" si="14"/>
        <v>1080</v>
      </c>
      <c r="AR62" s="4"/>
      <c r="AS62" s="4"/>
    </row>
    <row r="63" spans="1:45" ht="41.25" customHeight="1" x14ac:dyDescent="0.2">
      <c r="AM63" s="48" t="s">
        <v>148</v>
      </c>
      <c r="AN63" s="4" t="s">
        <v>147</v>
      </c>
      <c r="AO63" s="11">
        <v>250</v>
      </c>
      <c r="AP63" s="4">
        <v>3</v>
      </c>
      <c r="AQ63" s="11">
        <f t="shared" si="14"/>
        <v>750</v>
      </c>
      <c r="AR63" s="4"/>
      <c r="AS63" s="4"/>
    </row>
    <row r="64" spans="1:45" ht="41.25" customHeight="1" x14ac:dyDescent="0.2">
      <c r="AM64" s="48"/>
      <c r="AN64" s="4" t="s">
        <v>88</v>
      </c>
      <c r="AO64" s="11">
        <v>150</v>
      </c>
      <c r="AP64" s="4">
        <v>3</v>
      </c>
      <c r="AQ64" s="11">
        <f t="shared" si="14"/>
        <v>450</v>
      </c>
      <c r="AR64" s="4"/>
      <c r="AS64" s="4"/>
    </row>
    <row r="65" spans="39:45" ht="46.5" customHeight="1" x14ac:dyDescent="0.2">
      <c r="AM65" s="48"/>
      <c r="AN65" s="4" t="s">
        <v>67</v>
      </c>
      <c r="AO65" s="21">
        <v>4</v>
      </c>
      <c r="AP65" s="4">
        <v>3</v>
      </c>
      <c r="AQ65" s="21">
        <f t="shared" si="14"/>
        <v>12</v>
      </c>
      <c r="AR65" s="4"/>
      <c r="AS65" s="4"/>
    </row>
    <row r="66" spans="39:45" ht="53.25" customHeight="1" x14ac:dyDescent="0.2">
      <c r="AM66" s="48"/>
      <c r="AN66" s="4" t="s">
        <v>48</v>
      </c>
      <c r="AO66" s="11">
        <v>250</v>
      </c>
      <c r="AP66" s="4">
        <v>2</v>
      </c>
      <c r="AQ66" s="11">
        <f t="shared" si="14"/>
        <v>500</v>
      </c>
      <c r="AR66" s="4"/>
      <c r="AS66" s="4"/>
    </row>
    <row r="67" spans="39:45" ht="53.25" customHeight="1" x14ac:dyDescent="0.2">
      <c r="AM67" s="36" t="s">
        <v>149</v>
      </c>
      <c r="AN67" s="4" t="s">
        <v>70</v>
      </c>
      <c r="AO67" s="20">
        <v>400</v>
      </c>
      <c r="AP67" s="4">
        <v>3</v>
      </c>
      <c r="AQ67" s="20">
        <f t="shared" si="14"/>
        <v>1200</v>
      </c>
      <c r="AR67" s="4"/>
      <c r="AS67" s="4"/>
    </row>
    <row r="68" spans="39:45" ht="53.25" customHeight="1" x14ac:dyDescent="0.2">
      <c r="AM68" s="39"/>
    </row>
    <row r="69" spans="39:45" ht="53.25" customHeight="1" x14ac:dyDescent="0.2">
      <c r="AM69" s="39"/>
      <c r="AO69" s="40"/>
      <c r="AQ69" s="40"/>
    </row>
    <row r="70" spans="39:45" ht="53.25" customHeight="1" x14ac:dyDescent="0.2">
      <c r="AM70" s="39"/>
    </row>
    <row r="71" spans="39:45" ht="53.25" customHeight="1" x14ac:dyDescent="0.2">
      <c r="AM71" s="39"/>
    </row>
    <row r="72" spans="39:45" ht="53.25" customHeight="1" x14ac:dyDescent="0.2"/>
    <row r="73" spans="39:45" ht="53.25" customHeight="1" x14ac:dyDescent="0.2">
      <c r="AM73" s="39"/>
      <c r="AO73" s="40"/>
      <c r="AQ73" s="40"/>
    </row>
    <row r="74" spans="39:45" ht="53.25" customHeight="1" x14ac:dyDescent="0.2">
      <c r="AM74" s="39"/>
    </row>
    <row r="75" spans="39:45" ht="53.25" customHeight="1" x14ac:dyDescent="0.2">
      <c r="AM75" s="39"/>
    </row>
  </sheetData>
  <mergeCells count="32">
    <mergeCell ref="AM2:AS2"/>
    <mergeCell ref="C1:K1"/>
    <mergeCell ref="A2:B2"/>
    <mergeCell ref="C2:K2"/>
    <mergeCell ref="N1:R1"/>
    <mergeCell ref="N2:R2"/>
    <mergeCell ref="T2:U2"/>
    <mergeCell ref="V2:W2"/>
    <mergeCell ref="T1:AK1"/>
    <mergeCell ref="X2:Z2"/>
    <mergeCell ref="AC2:AF2"/>
    <mergeCell ref="AH2:AJ2"/>
    <mergeCell ref="AH4:AH5"/>
    <mergeCell ref="AI4:AI5"/>
    <mergeCell ref="AJ4:AJ5"/>
    <mergeCell ref="AK4:AK5"/>
    <mergeCell ref="AM4:AM7"/>
    <mergeCell ref="AM63:AM66"/>
    <mergeCell ref="AM47:AM48"/>
    <mergeCell ref="AM49:AM51"/>
    <mergeCell ref="AM43:AM45"/>
    <mergeCell ref="AM8:AM11"/>
    <mergeCell ref="AM12:AM14"/>
    <mergeCell ref="AM15:AM18"/>
    <mergeCell ref="AM52:AM59"/>
    <mergeCell ref="AM60:AM62"/>
    <mergeCell ref="AM19:AM21"/>
    <mergeCell ref="AM22:AM26"/>
    <mergeCell ref="AM27:AM29"/>
    <mergeCell ref="AM30:AM34"/>
    <mergeCell ref="AM35:AM37"/>
    <mergeCell ref="AM38:AM4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68B2-C36B-4BA7-B12D-E351A6F1AA46}">
  <dimension ref="A1:AR64"/>
  <sheetViews>
    <sheetView workbookViewId="0">
      <selection activeCell="Y9" sqref="Y9"/>
    </sheetView>
  </sheetViews>
  <sheetFormatPr defaultColWidth="12.125" defaultRowHeight="18" x14ac:dyDescent="0.2"/>
  <cols>
    <col min="1" max="1" width="12.125" style="1"/>
    <col min="2" max="2" width="16.75" style="1" customWidth="1"/>
    <col min="3" max="5" width="12.125" style="1"/>
    <col min="6" max="6" width="13.375" style="1" customWidth="1"/>
    <col min="7" max="7" width="11.25" style="1" bestFit="1" customWidth="1"/>
    <col min="8" max="9" width="21.875" style="1" bestFit="1" customWidth="1"/>
    <col min="10" max="10" width="12.5" style="1" customWidth="1"/>
    <col min="11" max="11" width="13.25" style="1" customWidth="1"/>
    <col min="12" max="12" width="16.125" style="1" bestFit="1" customWidth="1"/>
    <col min="13" max="13" width="7.625" style="3" customWidth="1"/>
    <col min="14" max="14" width="20.875" style="1" customWidth="1"/>
    <col min="15" max="15" width="19.5" style="1" customWidth="1"/>
    <col min="16" max="16" width="18.25" style="1" customWidth="1"/>
    <col min="17" max="17" width="17.625" style="1" customWidth="1"/>
    <col min="18" max="18" width="21.375" style="1" customWidth="1"/>
    <col min="19" max="19" width="8.5" style="2" customWidth="1"/>
    <col min="20" max="20" width="15.625" style="1" customWidth="1"/>
    <col min="21" max="21" width="14.75" style="1" customWidth="1"/>
    <col min="22" max="22" width="15.375" style="1" customWidth="1"/>
    <col min="23" max="23" width="23" style="1" customWidth="1"/>
    <col min="24" max="24" width="22.625" style="1" customWidth="1"/>
    <col min="25" max="25" width="13" style="1" bestFit="1" customWidth="1"/>
    <col min="26" max="26" width="16.375" style="1" bestFit="1" customWidth="1"/>
    <col min="27" max="27" width="23.125" style="1" bestFit="1" customWidth="1"/>
    <col min="28" max="28" width="23.125" style="1" customWidth="1"/>
    <col min="29" max="29" width="12" style="1" customWidth="1"/>
    <col min="30" max="31" width="12.125" style="1"/>
    <col min="32" max="32" width="30.75" style="1" bestFit="1" customWidth="1"/>
    <col min="33" max="33" width="30.75" style="1" customWidth="1"/>
    <col min="34" max="34" width="29" style="1" bestFit="1" customWidth="1"/>
    <col min="35" max="35" width="13.75" style="1" customWidth="1"/>
    <col min="36" max="36" width="13.875" style="1" customWidth="1"/>
    <col min="37" max="37" width="10.375" style="7" customWidth="1"/>
    <col min="38" max="39" width="18.625" style="1" customWidth="1"/>
    <col min="40" max="40" width="19.125" style="1" customWidth="1"/>
    <col min="41" max="41" width="15.75" style="1" customWidth="1"/>
    <col min="42" max="42" width="16.5" style="1" customWidth="1"/>
    <col min="43" max="43" width="17.75" style="1" customWidth="1"/>
    <col min="44" max="44" width="17.375" style="1" customWidth="1"/>
    <col min="45" max="16384" width="12.125" style="1"/>
  </cols>
  <sheetData>
    <row r="1" spans="1:44" ht="41.25" customHeight="1" x14ac:dyDescent="0.2">
      <c r="A1" s="4"/>
      <c r="B1" s="9"/>
      <c r="C1" s="46" t="s">
        <v>75</v>
      </c>
      <c r="D1" s="46"/>
      <c r="E1" s="46"/>
      <c r="F1" s="46"/>
      <c r="G1" s="46"/>
      <c r="H1" s="46"/>
      <c r="I1" s="46"/>
      <c r="J1" s="46"/>
      <c r="K1" s="47"/>
      <c r="L1" s="4"/>
      <c r="N1" s="45"/>
      <c r="O1" s="46"/>
      <c r="P1" s="46"/>
      <c r="Q1" s="46"/>
      <c r="R1" s="47"/>
      <c r="T1" s="45" t="s">
        <v>26</v>
      </c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L1" s="4"/>
      <c r="AM1" s="4"/>
      <c r="AN1" s="4"/>
      <c r="AO1" s="4"/>
      <c r="AP1" s="4"/>
      <c r="AQ1" s="4"/>
      <c r="AR1" s="4"/>
    </row>
    <row r="2" spans="1:44" ht="41.25" customHeight="1" x14ac:dyDescent="0.2">
      <c r="A2" s="45" t="s">
        <v>36</v>
      </c>
      <c r="B2" s="46"/>
      <c r="C2" s="46" t="s">
        <v>76</v>
      </c>
      <c r="D2" s="46"/>
      <c r="E2" s="46"/>
      <c r="F2" s="46"/>
      <c r="G2" s="46"/>
      <c r="H2" s="46"/>
      <c r="I2" s="46"/>
      <c r="J2" s="46"/>
      <c r="K2" s="47"/>
      <c r="L2" s="4" t="s">
        <v>37</v>
      </c>
      <c r="N2" s="45" t="s">
        <v>27</v>
      </c>
      <c r="O2" s="46"/>
      <c r="P2" s="46"/>
      <c r="Q2" s="46"/>
      <c r="R2" s="47"/>
      <c r="T2" s="45" t="s">
        <v>40</v>
      </c>
      <c r="U2" s="46"/>
      <c r="V2" s="45" t="s">
        <v>41</v>
      </c>
      <c r="W2" s="47"/>
      <c r="X2" s="45">
        <v>3277</v>
      </c>
      <c r="Y2" s="47"/>
      <c r="Z2" s="6"/>
      <c r="AA2" s="6"/>
      <c r="AB2" s="46" t="s">
        <v>9</v>
      </c>
      <c r="AC2" s="46"/>
      <c r="AD2" s="46"/>
      <c r="AE2" s="47"/>
      <c r="AF2" s="4"/>
      <c r="AG2" s="4"/>
      <c r="AH2" s="4"/>
      <c r="AI2" s="8"/>
      <c r="AJ2" s="4"/>
      <c r="AL2" s="45" t="s">
        <v>33</v>
      </c>
      <c r="AM2" s="46"/>
      <c r="AN2" s="46"/>
      <c r="AO2" s="46"/>
      <c r="AP2" s="46"/>
      <c r="AQ2" s="46"/>
      <c r="AR2" s="47"/>
    </row>
    <row r="3" spans="1:44" ht="41.2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11</v>
      </c>
      <c r="I3" s="4" t="s">
        <v>7</v>
      </c>
      <c r="J3" s="4" t="s">
        <v>8</v>
      </c>
      <c r="K3" s="4" t="s">
        <v>9</v>
      </c>
      <c r="L3" s="4" t="s">
        <v>10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T3" s="4" t="s">
        <v>1</v>
      </c>
      <c r="U3" s="4" t="s">
        <v>17</v>
      </c>
      <c r="V3" s="4" t="s">
        <v>8</v>
      </c>
      <c r="W3" s="4" t="s">
        <v>18</v>
      </c>
      <c r="X3" s="4" t="s">
        <v>19</v>
      </c>
      <c r="Y3" s="4" t="s">
        <v>38</v>
      </c>
      <c r="Z3" s="4" t="s">
        <v>25</v>
      </c>
      <c r="AA3" s="4" t="s">
        <v>18</v>
      </c>
      <c r="AB3" s="4" t="s">
        <v>23</v>
      </c>
      <c r="AC3" s="4" t="s">
        <v>20</v>
      </c>
      <c r="AD3" s="4" t="s">
        <v>21</v>
      </c>
      <c r="AE3" s="4" t="s">
        <v>22</v>
      </c>
      <c r="AF3" s="4" t="s">
        <v>43</v>
      </c>
      <c r="AG3" s="4" t="s">
        <v>7</v>
      </c>
      <c r="AH3" s="4" t="s">
        <v>44</v>
      </c>
      <c r="AI3" s="4" t="s">
        <v>8</v>
      </c>
      <c r="AJ3" s="4" t="s">
        <v>24</v>
      </c>
      <c r="AL3" s="4" t="s">
        <v>28</v>
      </c>
      <c r="AM3" s="4" t="s">
        <v>29</v>
      </c>
      <c r="AN3" s="4" t="s">
        <v>14</v>
      </c>
      <c r="AO3" s="4" t="s">
        <v>30</v>
      </c>
      <c r="AP3" s="4" t="s">
        <v>31</v>
      </c>
      <c r="AQ3" s="4" t="s">
        <v>32</v>
      </c>
      <c r="AR3" s="4" t="s">
        <v>16</v>
      </c>
    </row>
    <row r="4" spans="1:44" ht="41.25" customHeight="1" x14ac:dyDescent="0.2">
      <c r="A4" s="4">
        <v>1</v>
      </c>
      <c r="B4" s="10">
        <v>45839</v>
      </c>
      <c r="C4" s="4">
        <v>5</v>
      </c>
      <c r="D4" s="4"/>
      <c r="E4" s="4">
        <v>5</v>
      </c>
      <c r="F4" s="4">
        <v>4.5</v>
      </c>
      <c r="G4" s="4"/>
      <c r="H4" s="4">
        <v>0.5</v>
      </c>
      <c r="I4" s="4">
        <f t="shared" ref="I4:I15" si="0">E4-F4</f>
        <v>0.5</v>
      </c>
      <c r="J4" s="4"/>
      <c r="K4" s="4">
        <v>1</v>
      </c>
      <c r="L4" s="4">
        <v>1</v>
      </c>
      <c r="N4" s="4"/>
      <c r="O4" s="4"/>
      <c r="P4" s="4"/>
      <c r="Q4" s="4"/>
      <c r="R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L4" s="4"/>
      <c r="AM4" s="4"/>
      <c r="AN4" s="4"/>
      <c r="AO4" s="4"/>
      <c r="AP4" s="4"/>
      <c r="AQ4" s="4"/>
      <c r="AR4" s="4"/>
    </row>
    <row r="5" spans="1:44" ht="41.25" customHeight="1" x14ac:dyDescent="0.2">
      <c r="A5" s="4">
        <v>2</v>
      </c>
      <c r="B5" s="10">
        <v>45840</v>
      </c>
      <c r="C5" s="4"/>
      <c r="D5" s="4"/>
      <c r="E5" s="4">
        <v>5</v>
      </c>
      <c r="F5" s="4">
        <v>4</v>
      </c>
      <c r="G5" s="4"/>
      <c r="H5" s="4">
        <v>0.5</v>
      </c>
      <c r="I5" s="4">
        <f t="shared" si="0"/>
        <v>1</v>
      </c>
      <c r="J5" s="4"/>
      <c r="K5" s="4">
        <v>2</v>
      </c>
      <c r="L5" s="4">
        <f>L4+K5</f>
        <v>3</v>
      </c>
      <c r="N5" s="4"/>
      <c r="O5" s="4"/>
      <c r="P5" s="4"/>
      <c r="Q5" s="4"/>
      <c r="R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L5" s="4"/>
      <c r="AM5" s="4"/>
      <c r="AN5" s="4"/>
      <c r="AO5" s="4"/>
      <c r="AP5" s="4"/>
      <c r="AQ5" s="4"/>
      <c r="AR5" s="4"/>
    </row>
    <row r="6" spans="1:44" ht="41.25" customHeight="1" x14ac:dyDescent="0.2">
      <c r="A6" s="4">
        <v>3</v>
      </c>
      <c r="B6" s="10">
        <v>45841</v>
      </c>
      <c r="C6" s="4"/>
      <c r="D6" s="4"/>
      <c r="E6" s="4">
        <v>5</v>
      </c>
      <c r="F6" s="4">
        <v>2.5</v>
      </c>
      <c r="G6" s="4"/>
      <c r="H6" s="4">
        <v>1.5</v>
      </c>
      <c r="I6" s="4">
        <f t="shared" si="0"/>
        <v>2.5</v>
      </c>
      <c r="J6" s="4"/>
      <c r="K6" s="4">
        <v>4</v>
      </c>
      <c r="L6" s="4">
        <f t="shared" ref="L6:L53" si="1">L5+K6</f>
        <v>7</v>
      </c>
      <c r="N6" s="4"/>
      <c r="O6" s="4"/>
      <c r="P6" s="4"/>
      <c r="Q6" s="4"/>
      <c r="R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L6" s="4"/>
      <c r="AM6" s="4"/>
      <c r="AN6" s="4"/>
      <c r="AO6" s="4"/>
      <c r="AP6" s="4"/>
      <c r="AQ6" s="4"/>
      <c r="AR6" s="4"/>
    </row>
    <row r="7" spans="1:44" ht="41.25" customHeight="1" x14ac:dyDescent="0.2">
      <c r="A7" s="4">
        <v>4</v>
      </c>
      <c r="B7" s="10">
        <v>45842</v>
      </c>
      <c r="C7" s="4"/>
      <c r="D7" s="4"/>
      <c r="E7" s="4">
        <v>5</v>
      </c>
      <c r="F7" s="4"/>
      <c r="G7" s="4"/>
      <c r="H7" s="4">
        <v>2.5</v>
      </c>
      <c r="I7" s="4">
        <f t="shared" si="0"/>
        <v>5</v>
      </c>
      <c r="J7" s="4"/>
      <c r="K7" s="4">
        <v>5</v>
      </c>
      <c r="L7" s="4">
        <f t="shared" si="1"/>
        <v>12</v>
      </c>
      <c r="N7" s="4"/>
      <c r="O7" s="4"/>
      <c r="P7" s="4"/>
      <c r="Q7" s="4"/>
      <c r="R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L7" s="4"/>
      <c r="AM7" s="4"/>
      <c r="AN7" s="4"/>
      <c r="AO7" s="4"/>
      <c r="AP7" s="4"/>
      <c r="AQ7" s="4"/>
      <c r="AR7" s="4"/>
    </row>
    <row r="8" spans="1:44" ht="41.25" customHeight="1" x14ac:dyDescent="0.2">
      <c r="A8" s="4">
        <v>5</v>
      </c>
      <c r="B8" s="10">
        <v>45843</v>
      </c>
      <c r="C8" s="4">
        <v>5</v>
      </c>
      <c r="D8" s="4"/>
      <c r="E8" s="4">
        <f>C4+C8</f>
        <v>10</v>
      </c>
      <c r="F8" s="4">
        <v>2</v>
      </c>
      <c r="G8" s="4"/>
      <c r="H8" s="4">
        <v>3</v>
      </c>
      <c r="I8" s="4">
        <f t="shared" si="0"/>
        <v>8</v>
      </c>
      <c r="J8" s="4"/>
      <c r="K8" s="4">
        <v>6</v>
      </c>
      <c r="L8" s="4">
        <f t="shared" si="1"/>
        <v>18</v>
      </c>
      <c r="N8" s="4"/>
      <c r="O8" s="4"/>
      <c r="P8" s="4"/>
      <c r="Q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L8" s="4"/>
      <c r="AM8" s="4"/>
      <c r="AN8" s="4"/>
      <c r="AO8" s="4"/>
      <c r="AP8" s="4"/>
      <c r="AQ8" s="4"/>
    </row>
    <row r="9" spans="1:44" ht="41.25" customHeight="1" x14ac:dyDescent="0.2">
      <c r="A9" s="4">
        <v>6</v>
      </c>
      <c r="B9" s="10">
        <v>45844</v>
      </c>
      <c r="C9" s="4">
        <v>10</v>
      </c>
      <c r="D9" s="4"/>
      <c r="E9" s="4">
        <f>E8+C9+D9</f>
        <v>20</v>
      </c>
      <c r="F9" s="4">
        <v>9</v>
      </c>
      <c r="G9" s="4"/>
      <c r="H9" s="4">
        <v>3</v>
      </c>
      <c r="I9" s="4">
        <f t="shared" si="0"/>
        <v>11</v>
      </c>
      <c r="J9" s="4"/>
      <c r="K9" s="4">
        <v>1</v>
      </c>
      <c r="L9" s="4">
        <f t="shared" si="1"/>
        <v>19</v>
      </c>
      <c r="N9" s="4"/>
      <c r="O9" s="4"/>
      <c r="P9" s="4"/>
      <c r="Q9" s="4"/>
      <c r="R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L9" s="4"/>
      <c r="AM9" s="4"/>
      <c r="AN9" s="4"/>
      <c r="AO9" s="4"/>
      <c r="AP9" s="4"/>
      <c r="AQ9" s="4"/>
      <c r="AR9" s="4"/>
    </row>
    <row r="10" spans="1:44" ht="41.25" customHeight="1" x14ac:dyDescent="0.2">
      <c r="A10" s="4">
        <v>7</v>
      </c>
      <c r="B10" s="10">
        <v>45845</v>
      </c>
      <c r="C10" s="4"/>
      <c r="D10" s="4"/>
      <c r="E10" s="4">
        <f t="shared" ref="E10:E53" si="2">E9+C10+D10</f>
        <v>20</v>
      </c>
      <c r="F10" s="4">
        <v>6</v>
      </c>
      <c r="G10" s="4"/>
      <c r="H10" s="4">
        <v>3</v>
      </c>
      <c r="I10" s="4">
        <f t="shared" si="0"/>
        <v>14</v>
      </c>
      <c r="J10" s="4"/>
      <c r="K10" s="4">
        <v>3</v>
      </c>
      <c r="L10" s="4">
        <f t="shared" si="1"/>
        <v>22</v>
      </c>
      <c r="N10" s="4"/>
      <c r="O10" s="4"/>
      <c r="P10" s="4"/>
      <c r="Q10" s="4"/>
      <c r="R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L10" s="4"/>
      <c r="AM10" s="4"/>
      <c r="AN10" s="4"/>
      <c r="AO10" s="4"/>
      <c r="AP10" s="4"/>
      <c r="AQ10" s="4"/>
      <c r="AR10" s="4"/>
    </row>
    <row r="11" spans="1:44" ht="41.25" customHeight="1" x14ac:dyDescent="0.2">
      <c r="A11" s="4">
        <v>8</v>
      </c>
      <c r="B11" s="10">
        <v>45846</v>
      </c>
      <c r="C11" s="4"/>
      <c r="D11" s="4"/>
      <c r="E11" s="4">
        <f t="shared" si="2"/>
        <v>20</v>
      </c>
      <c r="F11" s="4">
        <v>2.5</v>
      </c>
      <c r="G11" s="4"/>
      <c r="H11" s="4">
        <v>3</v>
      </c>
      <c r="I11" s="4">
        <f t="shared" si="0"/>
        <v>17.5</v>
      </c>
      <c r="J11" s="4"/>
      <c r="K11" s="4">
        <v>9</v>
      </c>
      <c r="L11" s="4">
        <f t="shared" si="1"/>
        <v>31</v>
      </c>
      <c r="N11" s="4"/>
      <c r="O11" s="4"/>
      <c r="P11" s="4"/>
      <c r="Q11" s="4"/>
      <c r="R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L11" s="4"/>
      <c r="AM11" s="4"/>
      <c r="AN11" s="4"/>
      <c r="AO11" s="4"/>
      <c r="AP11" s="4"/>
      <c r="AQ11" s="4"/>
      <c r="AR11" s="4"/>
    </row>
    <row r="12" spans="1:44" ht="41.25" customHeight="1" x14ac:dyDescent="0.2">
      <c r="A12" s="4">
        <v>9</v>
      </c>
      <c r="B12" s="10">
        <v>45847</v>
      </c>
      <c r="C12" s="4"/>
      <c r="D12" s="4"/>
      <c r="E12" s="4">
        <f t="shared" si="2"/>
        <v>20</v>
      </c>
      <c r="F12" s="4"/>
      <c r="G12" s="4"/>
      <c r="H12" s="4">
        <v>2.5</v>
      </c>
      <c r="I12" s="4">
        <f t="shared" si="0"/>
        <v>20</v>
      </c>
      <c r="J12" s="4"/>
      <c r="K12" s="4">
        <v>101</v>
      </c>
      <c r="L12" s="4">
        <f t="shared" si="1"/>
        <v>132</v>
      </c>
      <c r="N12" s="4"/>
      <c r="O12" s="4"/>
      <c r="P12" s="4"/>
      <c r="Q12" s="4"/>
      <c r="R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L12" s="4"/>
      <c r="AM12" s="4"/>
      <c r="AN12" s="4"/>
      <c r="AO12" s="4"/>
      <c r="AP12" s="4"/>
      <c r="AQ12" s="4"/>
      <c r="AR12" s="4"/>
    </row>
    <row r="13" spans="1:44" ht="41.25" customHeight="1" x14ac:dyDescent="0.2">
      <c r="A13" s="4">
        <v>10</v>
      </c>
      <c r="B13" s="10">
        <v>45848</v>
      </c>
      <c r="C13" s="4">
        <v>10</v>
      </c>
      <c r="D13" s="4"/>
      <c r="E13" s="4">
        <f t="shared" si="2"/>
        <v>30</v>
      </c>
      <c r="F13" s="4">
        <v>7</v>
      </c>
      <c r="G13" s="4"/>
      <c r="H13" s="4">
        <v>3</v>
      </c>
      <c r="I13" s="4">
        <f t="shared" si="0"/>
        <v>23</v>
      </c>
      <c r="J13" s="4"/>
      <c r="K13" s="4">
        <v>90</v>
      </c>
      <c r="L13" s="4">
        <f t="shared" si="1"/>
        <v>222</v>
      </c>
      <c r="N13" s="4"/>
      <c r="O13" s="4"/>
      <c r="P13" s="4"/>
      <c r="Q13" s="4"/>
      <c r="R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L13" s="4"/>
      <c r="AM13" s="4"/>
      <c r="AN13" s="4"/>
      <c r="AO13" s="4"/>
      <c r="AP13" s="4"/>
      <c r="AQ13" s="4"/>
      <c r="AR13" s="4"/>
    </row>
    <row r="14" spans="1:44" ht="41.25" customHeight="1" x14ac:dyDescent="0.2">
      <c r="A14" s="4">
        <v>11</v>
      </c>
      <c r="B14" s="10">
        <v>45849</v>
      </c>
      <c r="C14" s="4"/>
      <c r="D14" s="4"/>
      <c r="E14" s="4">
        <f t="shared" si="2"/>
        <v>30</v>
      </c>
      <c r="F14" s="4">
        <v>3.5</v>
      </c>
      <c r="G14" s="4"/>
      <c r="H14" s="4">
        <v>3.5</v>
      </c>
      <c r="I14" s="4">
        <f t="shared" si="0"/>
        <v>26.5</v>
      </c>
      <c r="J14" s="4"/>
      <c r="K14" s="4">
        <v>96</v>
      </c>
      <c r="L14" s="4">
        <f t="shared" si="1"/>
        <v>318</v>
      </c>
      <c r="N14" s="4"/>
      <c r="O14" s="4"/>
      <c r="P14" s="4"/>
      <c r="Q14" s="4"/>
      <c r="R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L14" s="4"/>
      <c r="AM14" s="4"/>
      <c r="AN14" s="4"/>
      <c r="AO14" s="4"/>
      <c r="AP14" s="4"/>
      <c r="AQ14" s="4"/>
      <c r="AR14" s="4"/>
    </row>
    <row r="15" spans="1:44" ht="41.25" customHeight="1" x14ac:dyDescent="0.2">
      <c r="A15" s="4">
        <v>12</v>
      </c>
      <c r="B15" s="10">
        <v>45850</v>
      </c>
      <c r="C15" s="4">
        <v>10</v>
      </c>
      <c r="D15" s="4"/>
      <c r="E15" s="4">
        <f t="shared" si="2"/>
        <v>40</v>
      </c>
      <c r="F15" s="4">
        <v>10</v>
      </c>
      <c r="G15" s="4"/>
      <c r="H15" s="4">
        <v>3.5</v>
      </c>
      <c r="I15" s="4">
        <f t="shared" si="0"/>
        <v>30</v>
      </c>
      <c r="J15" s="4"/>
      <c r="K15" s="4">
        <v>92</v>
      </c>
      <c r="L15" s="4">
        <f t="shared" si="1"/>
        <v>410</v>
      </c>
      <c r="N15" s="4"/>
      <c r="O15" s="4"/>
      <c r="P15" s="4"/>
      <c r="Q15" s="4"/>
      <c r="R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L15" s="4"/>
      <c r="AM15" s="4"/>
      <c r="AN15" s="4"/>
      <c r="AO15" s="4"/>
      <c r="AP15" s="4"/>
      <c r="AQ15" s="4"/>
      <c r="AR15" s="4"/>
    </row>
    <row r="16" spans="1:44" ht="41.25" customHeight="1" x14ac:dyDescent="0.2">
      <c r="A16" s="4">
        <v>13</v>
      </c>
      <c r="B16" s="10">
        <v>45851</v>
      </c>
      <c r="C16" s="4"/>
      <c r="D16" s="4"/>
      <c r="E16" s="4">
        <f t="shared" si="2"/>
        <v>40</v>
      </c>
      <c r="F16" s="4">
        <v>6</v>
      </c>
      <c r="G16" s="4"/>
      <c r="H16" s="4">
        <v>4</v>
      </c>
      <c r="I16" s="4">
        <v>34</v>
      </c>
      <c r="J16" s="4"/>
      <c r="K16" s="4">
        <v>40</v>
      </c>
      <c r="L16" s="4">
        <f t="shared" si="1"/>
        <v>450</v>
      </c>
      <c r="N16" s="4"/>
      <c r="O16" s="4"/>
      <c r="P16" s="4"/>
      <c r="Q16" s="4"/>
      <c r="R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L16" s="4"/>
      <c r="AM16" s="4"/>
      <c r="AN16" s="4"/>
      <c r="AO16" s="4"/>
      <c r="AP16" s="4"/>
      <c r="AQ16" s="4"/>
      <c r="AR16" s="4"/>
    </row>
    <row r="17" spans="1:44" ht="41.25" customHeight="1" x14ac:dyDescent="0.2">
      <c r="A17" s="4">
        <v>14</v>
      </c>
      <c r="B17" s="10">
        <v>45852</v>
      </c>
      <c r="C17" s="4"/>
      <c r="D17" s="4"/>
      <c r="E17" s="4">
        <f t="shared" si="2"/>
        <v>40</v>
      </c>
      <c r="F17" s="4">
        <v>2</v>
      </c>
      <c r="G17" s="4"/>
      <c r="H17" s="4">
        <v>4</v>
      </c>
      <c r="I17" s="4">
        <v>38</v>
      </c>
      <c r="J17" s="4"/>
      <c r="K17" s="4">
        <v>20</v>
      </c>
      <c r="L17" s="4">
        <f t="shared" si="1"/>
        <v>470</v>
      </c>
      <c r="N17" s="4"/>
      <c r="O17" s="4"/>
      <c r="P17" s="4"/>
      <c r="Q17" s="4"/>
      <c r="R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L17" s="4"/>
      <c r="AM17" s="4"/>
      <c r="AN17" s="4"/>
      <c r="AO17" s="4"/>
      <c r="AP17" s="4"/>
      <c r="AQ17" s="4"/>
      <c r="AR17" s="4"/>
    </row>
    <row r="18" spans="1:44" ht="41.25" customHeight="1" x14ac:dyDescent="0.2">
      <c r="A18" s="4">
        <v>15</v>
      </c>
      <c r="B18" s="10">
        <v>45853</v>
      </c>
      <c r="C18" s="4">
        <v>15</v>
      </c>
      <c r="D18" s="4"/>
      <c r="E18" s="4">
        <f t="shared" si="2"/>
        <v>55</v>
      </c>
      <c r="F18" s="4">
        <v>12</v>
      </c>
      <c r="G18" s="4"/>
      <c r="H18" s="1">
        <v>5</v>
      </c>
      <c r="I18" s="4">
        <v>43</v>
      </c>
      <c r="J18" s="4"/>
      <c r="K18" s="4">
        <v>15</v>
      </c>
      <c r="L18" s="4">
        <f t="shared" si="1"/>
        <v>485</v>
      </c>
      <c r="N18" s="4"/>
      <c r="O18" s="4"/>
      <c r="P18" s="4"/>
      <c r="Q18" s="4"/>
      <c r="R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L18" s="4"/>
      <c r="AM18" s="4"/>
      <c r="AN18" s="4"/>
      <c r="AO18" s="4"/>
      <c r="AP18" s="4"/>
      <c r="AQ18" s="4"/>
      <c r="AR18" s="4"/>
    </row>
    <row r="19" spans="1:44" ht="41.25" customHeight="1" x14ac:dyDescent="0.2">
      <c r="A19" s="4">
        <v>16</v>
      </c>
      <c r="B19" s="10">
        <v>45854</v>
      </c>
      <c r="C19" s="4"/>
      <c r="D19" s="4"/>
      <c r="E19" s="4">
        <f t="shared" si="2"/>
        <v>55</v>
      </c>
      <c r="F19" s="4">
        <v>7</v>
      </c>
      <c r="G19" s="4"/>
      <c r="H19" s="4">
        <v>5</v>
      </c>
      <c r="I19" s="4">
        <v>48</v>
      </c>
      <c r="J19" s="4"/>
      <c r="K19" s="4">
        <v>9</v>
      </c>
      <c r="L19" s="4">
        <f t="shared" si="1"/>
        <v>494</v>
      </c>
      <c r="N19" s="4"/>
      <c r="O19" s="4"/>
      <c r="P19" s="4"/>
      <c r="Q19" s="4"/>
      <c r="R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L19" s="4"/>
      <c r="AM19" s="4"/>
      <c r="AN19" s="4"/>
      <c r="AO19" s="4"/>
      <c r="AP19" s="4"/>
      <c r="AQ19" s="4"/>
      <c r="AR19" s="4"/>
    </row>
    <row r="20" spans="1:44" ht="41.25" customHeight="1" x14ac:dyDescent="0.2">
      <c r="A20" s="4">
        <v>17</v>
      </c>
      <c r="B20" s="10">
        <v>45855</v>
      </c>
      <c r="C20" s="4"/>
      <c r="D20" s="4"/>
      <c r="E20" s="4">
        <f t="shared" si="2"/>
        <v>55</v>
      </c>
      <c r="F20" s="4">
        <v>4</v>
      </c>
      <c r="G20" s="4"/>
      <c r="H20" s="4">
        <v>3</v>
      </c>
      <c r="I20" s="4">
        <v>51</v>
      </c>
      <c r="J20" s="4"/>
      <c r="K20" s="4">
        <v>8</v>
      </c>
      <c r="L20" s="4">
        <f>L19+K20</f>
        <v>502</v>
      </c>
      <c r="N20" s="4"/>
      <c r="O20" s="4"/>
      <c r="P20" s="4"/>
      <c r="Q20" s="4"/>
      <c r="R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L20" s="4"/>
      <c r="AM20" s="4"/>
      <c r="AN20" s="4"/>
      <c r="AO20" s="4"/>
      <c r="AP20" s="4"/>
      <c r="AQ20" s="4"/>
      <c r="AR20" s="4"/>
    </row>
    <row r="21" spans="1:44" ht="41.25" customHeight="1" x14ac:dyDescent="0.2">
      <c r="A21" s="4">
        <v>18</v>
      </c>
      <c r="B21" s="10">
        <v>45856</v>
      </c>
      <c r="C21" s="4">
        <v>10</v>
      </c>
      <c r="D21" s="4"/>
      <c r="E21" s="4">
        <f t="shared" si="2"/>
        <v>65</v>
      </c>
      <c r="F21" s="4">
        <v>9</v>
      </c>
      <c r="G21" s="4"/>
      <c r="H21" s="4">
        <v>3.5</v>
      </c>
      <c r="I21" s="4">
        <v>54.5</v>
      </c>
      <c r="J21" s="4"/>
      <c r="K21" s="4">
        <v>7</v>
      </c>
      <c r="L21" s="4">
        <f>L20+K21</f>
        <v>509</v>
      </c>
      <c r="N21" s="4"/>
      <c r="O21" s="4"/>
      <c r="P21" s="4"/>
      <c r="Q21" s="4"/>
      <c r="R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L21" s="4"/>
      <c r="AM21" s="4"/>
      <c r="AN21" s="4"/>
      <c r="AO21" s="4"/>
      <c r="AP21" s="4"/>
      <c r="AQ21" s="4"/>
      <c r="AR21" s="4"/>
    </row>
    <row r="22" spans="1:44" ht="41.25" customHeight="1" x14ac:dyDescent="0.2">
      <c r="A22" s="4">
        <v>19</v>
      </c>
      <c r="B22" s="10">
        <v>45857</v>
      </c>
      <c r="C22" s="4">
        <v>6.5</v>
      </c>
      <c r="D22" s="4"/>
      <c r="E22" s="4">
        <f t="shared" si="2"/>
        <v>71.5</v>
      </c>
      <c r="F22" s="4">
        <v>13</v>
      </c>
      <c r="G22" s="4"/>
      <c r="H22" s="4">
        <v>4</v>
      </c>
      <c r="I22" s="4">
        <v>58.5</v>
      </c>
      <c r="J22" s="4"/>
      <c r="K22" s="4">
        <v>9</v>
      </c>
      <c r="L22" s="4">
        <f t="shared" si="1"/>
        <v>518</v>
      </c>
      <c r="N22" s="4"/>
      <c r="O22" s="4"/>
      <c r="P22" s="4"/>
      <c r="Q22" s="4"/>
      <c r="R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L22" s="4"/>
      <c r="AM22" s="4"/>
      <c r="AN22" s="4"/>
      <c r="AO22" s="4"/>
      <c r="AP22" s="4"/>
      <c r="AQ22" s="4"/>
      <c r="AR22" s="4"/>
    </row>
    <row r="23" spans="1:44" ht="41.25" customHeight="1" x14ac:dyDescent="0.2">
      <c r="A23" s="4">
        <v>20</v>
      </c>
      <c r="B23" s="10">
        <v>45858</v>
      </c>
      <c r="C23" s="4"/>
      <c r="D23" s="4"/>
      <c r="E23" s="4">
        <f t="shared" si="2"/>
        <v>71.5</v>
      </c>
      <c r="F23" s="4">
        <v>7.5</v>
      </c>
      <c r="G23" s="4"/>
      <c r="H23" s="4">
        <v>5.5</v>
      </c>
      <c r="I23" s="4">
        <f>E23-F23-G23</f>
        <v>64</v>
      </c>
      <c r="J23" s="4"/>
      <c r="K23" s="4">
        <v>7</v>
      </c>
      <c r="L23" s="4">
        <f t="shared" si="1"/>
        <v>525</v>
      </c>
      <c r="N23" s="4"/>
      <c r="O23" s="4"/>
      <c r="P23" s="4"/>
      <c r="Q23" s="4"/>
      <c r="R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L23" s="4"/>
      <c r="AM23" s="4"/>
      <c r="AN23" s="4"/>
      <c r="AO23" s="4"/>
      <c r="AP23" s="4"/>
      <c r="AQ23" s="4"/>
      <c r="AR23" s="4"/>
    </row>
    <row r="24" spans="1:44" ht="41.25" customHeight="1" x14ac:dyDescent="0.2">
      <c r="A24" s="4">
        <v>21</v>
      </c>
      <c r="B24" s="10">
        <v>45859</v>
      </c>
      <c r="C24" s="4">
        <v>20</v>
      </c>
      <c r="D24" s="4"/>
      <c r="E24" s="4">
        <f t="shared" si="2"/>
        <v>91.5</v>
      </c>
      <c r="F24" s="4">
        <v>21.5</v>
      </c>
      <c r="G24" s="4"/>
      <c r="H24" s="4">
        <v>6</v>
      </c>
      <c r="I24" s="4">
        <f>E24-F24-G24</f>
        <v>70</v>
      </c>
      <c r="J24" s="4"/>
      <c r="K24" s="4">
        <v>2</v>
      </c>
      <c r="L24" s="4">
        <f t="shared" si="1"/>
        <v>527</v>
      </c>
      <c r="N24" s="4"/>
      <c r="O24" s="4"/>
      <c r="P24" s="4"/>
      <c r="Q24" s="4"/>
      <c r="R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L24" s="4"/>
      <c r="AM24" s="4"/>
      <c r="AN24" s="4"/>
      <c r="AO24" s="4"/>
      <c r="AP24" s="4"/>
      <c r="AQ24" s="4"/>
      <c r="AR24" s="4"/>
    </row>
    <row r="25" spans="1:44" ht="41.25" customHeight="1" x14ac:dyDescent="0.2">
      <c r="A25" s="4">
        <v>22</v>
      </c>
      <c r="B25" s="10">
        <v>45860</v>
      </c>
      <c r="C25" s="4"/>
      <c r="D25" s="4"/>
      <c r="E25" s="4">
        <f t="shared" si="2"/>
        <v>91.5</v>
      </c>
      <c r="F25" s="4">
        <v>14.5</v>
      </c>
      <c r="G25" s="4"/>
      <c r="H25" s="4">
        <v>7</v>
      </c>
      <c r="I25" s="4">
        <f>E25-F25-G25</f>
        <v>77</v>
      </c>
      <c r="J25" s="4"/>
      <c r="K25" s="4">
        <v>3</v>
      </c>
      <c r="L25" s="4">
        <f t="shared" si="1"/>
        <v>530</v>
      </c>
      <c r="N25" s="4"/>
      <c r="O25" s="4"/>
      <c r="P25" s="4"/>
      <c r="Q25" s="4"/>
      <c r="R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L25" s="4"/>
      <c r="AM25" s="4"/>
      <c r="AN25" s="4"/>
      <c r="AO25" s="4"/>
      <c r="AP25" s="4"/>
      <c r="AQ25" s="4"/>
      <c r="AR25" s="4"/>
    </row>
    <row r="26" spans="1:44" ht="41.25" customHeight="1" x14ac:dyDescent="0.2">
      <c r="A26" s="4">
        <v>23</v>
      </c>
      <c r="B26" s="10">
        <v>45861</v>
      </c>
      <c r="C26" s="4"/>
      <c r="D26" s="4"/>
      <c r="E26" s="4">
        <f t="shared" si="2"/>
        <v>91.5</v>
      </c>
      <c r="F26" s="4">
        <v>8</v>
      </c>
      <c r="G26" s="4"/>
      <c r="H26" s="4">
        <v>6.5</v>
      </c>
      <c r="I26" s="4">
        <v>83.5</v>
      </c>
      <c r="J26" s="4"/>
      <c r="K26" s="4">
        <v>1</v>
      </c>
      <c r="L26" s="4">
        <f t="shared" si="1"/>
        <v>531</v>
      </c>
      <c r="N26" s="4"/>
      <c r="O26" s="4"/>
      <c r="P26" s="4"/>
      <c r="Q26" s="4"/>
      <c r="R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L26" s="4"/>
      <c r="AM26" s="4"/>
      <c r="AN26" s="4"/>
      <c r="AO26" s="4"/>
      <c r="AP26" s="4"/>
      <c r="AQ26" s="4"/>
      <c r="AR26" s="4"/>
    </row>
    <row r="27" spans="1:44" ht="41.25" customHeight="1" x14ac:dyDescent="0.2">
      <c r="A27" s="4">
        <v>24</v>
      </c>
      <c r="B27" s="10">
        <v>45862</v>
      </c>
      <c r="C27" s="4">
        <v>10</v>
      </c>
      <c r="D27" s="4"/>
      <c r="E27" s="4">
        <f t="shared" si="2"/>
        <v>101.5</v>
      </c>
      <c r="F27" s="4">
        <v>12</v>
      </c>
      <c r="G27" s="4"/>
      <c r="H27" s="4">
        <v>6</v>
      </c>
      <c r="I27" s="4">
        <v>89.5</v>
      </c>
      <c r="J27" s="4"/>
      <c r="K27" s="4">
        <v>1</v>
      </c>
      <c r="L27" s="4">
        <f t="shared" si="1"/>
        <v>532</v>
      </c>
      <c r="N27" s="4"/>
      <c r="O27" s="4"/>
      <c r="P27" s="4"/>
      <c r="Q27" s="4"/>
      <c r="R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L27" s="4"/>
      <c r="AM27" s="4"/>
      <c r="AN27" s="4"/>
      <c r="AO27" s="4"/>
      <c r="AP27" s="4"/>
      <c r="AQ27" s="4"/>
      <c r="AR27" s="4"/>
    </row>
    <row r="28" spans="1:44" ht="41.25" customHeight="1" x14ac:dyDescent="0.2">
      <c r="A28" s="4">
        <v>25</v>
      </c>
      <c r="B28" s="10">
        <v>45863</v>
      </c>
      <c r="C28" s="4"/>
      <c r="D28" s="4"/>
      <c r="E28" s="4">
        <f t="shared" si="2"/>
        <v>101.5</v>
      </c>
      <c r="F28" s="4">
        <v>4</v>
      </c>
      <c r="G28" s="4"/>
      <c r="H28" s="4">
        <v>7</v>
      </c>
      <c r="I28" s="4">
        <f>E28-F28-G28</f>
        <v>97.5</v>
      </c>
      <c r="J28" s="4"/>
      <c r="K28" s="4">
        <v>6</v>
      </c>
      <c r="L28" s="4">
        <f t="shared" si="1"/>
        <v>538</v>
      </c>
      <c r="N28" s="4"/>
      <c r="O28" s="4"/>
      <c r="P28" s="4"/>
      <c r="Q28" s="4"/>
      <c r="R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L28" s="4"/>
      <c r="AM28" s="4"/>
      <c r="AN28" s="4"/>
      <c r="AO28" s="4"/>
      <c r="AP28" s="4"/>
      <c r="AQ28" s="4"/>
      <c r="AR28" s="4"/>
    </row>
    <row r="29" spans="1:44" ht="41.25" customHeight="1" x14ac:dyDescent="0.2">
      <c r="A29" s="4">
        <v>26</v>
      </c>
      <c r="B29" s="10">
        <v>45864</v>
      </c>
      <c r="C29" s="4">
        <v>10</v>
      </c>
      <c r="D29" s="4"/>
      <c r="E29" s="4">
        <f t="shared" si="2"/>
        <v>111.5</v>
      </c>
      <c r="F29" s="4">
        <v>8</v>
      </c>
      <c r="G29" s="4"/>
      <c r="H29" s="4">
        <v>7.5</v>
      </c>
      <c r="I29" s="4">
        <f>E29-F29</f>
        <v>103.5</v>
      </c>
      <c r="J29" s="4"/>
      <c r="K29" s="4">
        <v>3</v>
      </c>
      <c r="L29" s="4">
        <f t="shared" si="1"/>
        <v>541</v>
      </c>
      <c r="N29" s="4"/>
      <c r="O29" s="4"/>
      <c r="P29" s="4"/>
      <c r="Q29" s="4"/>
      <c r="R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L29" s="4"/>
      <c r="AM29" s="4"/>
      <c r="AN29" s="4"/>
      <c r="AO29" s="4"/>
      <c r="AP29" s="4"/>
      <c r="AQ29" s="4"/>
      <c r="AR29" s="4"/>
    </row>
    <row r="30" spans="1:44" ht="41.25" customHeight="1" x14ac:dyDescent="0.2">
      <c r="A30" s="4">
        <v>27</v>
      </c>
      <c r="B30" s="10">
        <v>45865</v>
      </c>
      <c r="C30" s="4">
        <v>20</v>
      </c>
      <c r="D30" s="4"/>
      <c r="E30" s="4">
        <f>E29+C30+D30</f>
        <v>131.5</v>
      </c>
      <c r="F30" s="4">
        <v>20</v>
      </c>
      <c r="G30" s="4"/>
      <c r="H30" s="4">
        <v>7.5</v>
      </c>
      <c r="I30" s="4">
        <f>E30-F30-G30</f>
        <v>111.5</v>
      </c>
      <c r="J30" s="4"/>
      <c r="K30" s="4">
        <v>3</v>
      </c>
      <c r="L30" s="4">
        <f t="shared" si="1"/>
        <v>544</v>
      </c>
      <c r="N30" s="4"/>
      <c r="O30" s="4"/>
      <c r="P30" s="4"/>
      <c r="Q30" s="4"/>
      <c r="R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L30" s="4"/>
      <c r="AM30" s="4"/>
      <c r="AN30" s="4"/>
      <c r="AO30" s="4"/>
      <c r="AP30" s="4"/>
      <c r="AQ30" s="4"/>
      <c r="AR30" s="4"/>
    </row>
    <row r="31" spans="1:44" ht="41.25" customHeight="1" x14ac:dyDescent="0.2">
      <c r="A31" s="4">
        <v>28</v>
      </c>
      <c r="B31" s="10">
        <v>45866</v>
      </c>
      <c r="C31" s="4">
        <v>19</v>
      </c>
      <c r="D31" s="4"/>
      <c r="E31" s="4">
        <f>E30+C31+D31</f>
        <v>150.5</v>
      </c>
      <c r="F31" s="4">
        <v>33</v>
      </c>
      <c r="G31" s="4"/>
      <c r="H31" s="4">
        <v>8</v>
      </c>
      <c r="I31" s="4">
        <f t="shared" ref="I31:I37" si="3">E31-F31-G31</f>
        <v>117.5</v>
      </c>
      <c r="J31" s="4"/>
      <c r="K31" s="4">
        <v>2</v>
      </c>
      <c r="L31" s="4">
        <f t="shared" si="1"/>
        <v>546</v>
      </c>
      <c r="N31" s="4"/>
      <c r="O31" s="4"/>
      <c r="P31" s="4"/>
      <c r="Q31" s="4"/>
      <c r="R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L31" s="4"/>
      <c r="AM31" s="4"/>
      <c r="AN31" s="4"/>
      <c r="AO31" s="4"/>
      <c r="AP31" s="4"/>
      <c r="AQ31" s="4"/>
      <c r="AR31" s="4"/>
    </row>
    <row r="32" spans="1:44" ht="41.25" customHeight="1" x14ac:dyDescent="0.2">
      <c r="A32" s="4">
        <v>29</v>
      </c>
      <c r="B32" s="10">
        <v>45867</v>
      </c>
      <c r="C32" s="4"/>
      <c r="D32" s="4"/>
      <c r="E32" s="4">
        <f t="shared" si="2"/>
        <v>150.5</v>
      </c>
      <c r="F32" s="4">
        <v>25</v>
      </c>
      <c r="G32" s="4"/>
      <c r="H32" s="4">
        <v>8</v>
      </c>
      <c r="I32" s="4">
        <f t="shared" si="3"/>
        <v>125.5</v>
      </c>
      <c r="J32" s="4"/>
      <c r="K32" s="4"/>
      <c r="L32" s="4">
        <f t="shared" si="1"/>
        <v>546</v>
      </c>
      <c r="N32" s="4"/>
      <c r="O32" s="4"/>
      <c r="P32" s="4"/>
      <c r="Q32" s="4"/>
      <c r="R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L32" s="4"/>
      <c r="AM32" s="4"/>
      <c r="AN32" s="4"/>
      <c r="AO32" s="4"/>
      <c r="AP32" s="4"/>
      <c r="AQ32" s="4"/>
      <c r="AR32" s="4"/>
    </row>
    <row r="33" spans="1:44" ht="41.25" customHeight="1" x14ac:dyDescent="0.2">
      <c r="A33" s="4">
        <v>30</v>
      </c>
      <c r="B33" s="10">
        <v>45868</v>
      </c>
      <c r="C33" s="4"/>
      <c r="D33" s="4"/>
      <c r="E33" s="4">
        <f t="shared" si="2"/>
        <v>150.5</v>
      </c>
      <c r="F33" s="4">
        <v>17</v>
      </c>
      <c r="G33" s="4"/>
      <c r="H33" s="4">
        <v>8.5</v>
      </c>
      <c r="I33" s="4">
        <f t="shared" si="3"/>
        <v>133.5</v>
      </c>
      <c r="J33" s="4"/>
      <c r="K33" s="4">
        <v>5</v>
      </c>
      <c r="L33" s="4">
        <f t="shared" si="1"/>
        <v>551</v>
      </c>
      <c r="N33" s="4"/>
      <c r="O33" s="4"/>
      <c r="P33" s="4"/>
      <c r="Q33" s="4"/>
      <c r="R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L33" s="4"/>
      <c r="AM33" s="4"/>
      <c r="AN33" s="4"/>
      <c r="AO33" s="4"/>
      <c r="AP33" s="4"/>
      <c r="AQ33" s="4"/>
      <c r="AR33" s="4"/>
    </row>
    <row r="34" spans="1:44" ht="41.25" customHeight="1" x14ac:dyDescent="0.2">
      <c r="A34" s="4">
        <v>31</v>
      </c>
      <c r="B34" s="10">
        <v>45869</v>
      </c>
      <c r="C34" s="4"/>
      <c r="D34" s="4"/>
      <c r="E34" s="4">
        <f t="shared" si="2"/>
        <v>150.5</v>
      </c>
      <c r="F34" s="4">
        <v>9</v>
      </c>
      <c r="G34" s="4"/>
      <c r="H34" s="4">
        <v>8.5</v>
      </c>
      <c r="I34" s="4">
        <f t="shared" si="3"/>
        <v>141.5</v>
      </c>
      <c r="J34" s="4"/>
      <c r="K34" s="4">
        <v>2</v>
      </c>
      <c r="L34" s="4">
        <f t="shared" si="1"/>
        <v>553</v>
      </c>
      <c r="N34" s="4"/>
      <c r="O34" s="4"/>
      <c r="P34" s="4"/>
      <c r="Q34" s="4"/>
      <c r="R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L34" s="4"/>
      <c r="AM34" s="4"/>
      <c r="AN34" s="4"/>
      <c r="AO34" s="4"/>
      <c r="AP34" s="4"/>
      <c r="AQ34" s="4"/>
      <c r="AR34" s="4"/>
    </row>
    <row r="35" spans="1:44" ht="41.25" customHeight="1" x14ac:dyDescent="0.2">
      <c r="A35" s="4">
        <v>32</v>
      </c>
      <c r="B35" s="10">
        <v>45870</v>
      </c>
      <c r="C35" s="4">
        <v>22</v>
      </c>
      <c r="D35" s="4">
        <v>8</v>
      </c>
      <c r="E35" s="4">
        <f t="shared" si="2"/>
        <v>180.5</v>
      </c>
      <c r="F35" s="4">
        <v>22</v>
      </c>
      <c r="G35" s="4">
        <v>8</v>
      </c>
      <c r="H35" s="4">
        <v>9</v>
      </c>
      <c r="I35" s="4">
        <f t="shared" si="3"/>
        <v>150.5</v>
      </c>
      <c r="J35" s="4"/>
      <c r="K35" s="4">
        <v>4</v>
      </c>
      <c r="L35" s="4">
        <f t="shared" si="1"/>
        <v>557</v>
      </c>
      <c r="N35" s="4"/>
      <c r="O35" s="4"/>
      <c r="P35" s="4"/>
      <c r="Q35" s="4"/>
      <c r="R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L35" s="4"/>
      <c r="AM35" s="4"/>
      <c r="AN35" s="4"/>
      <c r="AO35" s="4"/>
      <c r="AP35" s="4"/>
      <c r="AQ35" s="4"/>
      <c r="AR35" s="4"/>
    </row>
    <row r="36" spans="1:44" ht="41.25" customHeight="1" x14ac:dyDescent="0.2">
      <c r="A36" s="4">
        <v>33</v>
      </c>
      <c r="B36" s="10">
        <v>45871</v>
      </c>
      <c r="C36" s="4"/>
      <c r="D36" s="4"/>
      <c r="E36" s="4">
        <f t="shared" si="2"/>
        <v>180.5</v>
      </c>
      <c r="F36" s="4">
        <v>16</v>
      </c>
      <c r="G36" s="4">
        <v>5</v>
      </c>
      <c r="H36" s="4">
        <v>9</v>
      </c>
      <c r="I36" s="4">
        <f t="shared" si="3"/>
        <v>159.5</v>
      </c>
      <c r="J36" s="4"/>
      <c r="K36" s="4">
        <v>2</v>
      </c>
      <c r="L36" s="4">
        <f t="shared" si="1"/>
        <v>559</v>
      </c>
      <c r="N36" s="4"/>
      <c r="O36" s="4"/>
      <c r="P36" s="4"/>
      <c r="Q36" s="4"/>
      <c r="R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L36" s="4"/>
      <c r="AM36" s="4"/>
      <c r="AN36" s="4"/>
      <c r="AO36" s="4"/>
      <c r="AP36" s="4"/>
      <c r="AQ36" s="4"/>
      <c r="AR36" s="4"/>
    </row>
    <row r="37" spans="1:44" ht="41.25" customHeight="1" x14ac:dyDescent="0.2">
      <c r="A37" s="4">
        <v>34</v>
      </c>
      <c r="B37" s="10">
        <v>45872</v>
      </c>
      <c r="C37" s="4"/>
      <c r="D37" s="4"/>
      <c r="E37" s="4">
        <f t="shared" si="2"/>
        <v>180.5</v>
      </c>
      <c r="F37" s="4">
        <v>9</v>
      </c>
      <c r="G37" s="4">
        <v>2</v>
      </c>
      <c r="H37" s="4">
        <v>7.5</v>
      </c>
      <c r="I37" s="4">
        <f t="shared" si="3"/>
        <v>169.5</v>
      </c>
      <c r="J37" s="4"/>
      <c r="K37" s="4">
        <v>4</v>
      </c>
      <c r="L37" s="4">
        <f t="shared" si="1"/>
        <v>563</v>
      </c>
      <c r="N37" s="4"/>
      <c r="O37" s="4"/>
      <c r="P37" s="4"/>
      <c r="Q37" s="4"/>
      <c r="R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L37" s="4"/>
      <c r="AM37" s="4"/>
      <c r="AN37" s="4"/>
      <c r="AO37" s="4"/>
      <c r="AP37" s="4"/>
      <c r="AQ37" s="4"/>
      <c r="AR37" s="4"/>
    </row>
    <row r="38" spans="1:44" ht="41.25" customHeight="1" x14ac:dyDescent="0.2">
      <c r="A38" s="4">
        <v>35</v>
      </c>
      <c r="B38" s="10">
        <v>45873</v>
      </c>
      <c r="C38" s="4">
        <v>15</v>
      </c>
      <c r="D38" s="4"/>
      <c r="E38" s="4">
        <f t="shared" si="2"/>
        <v>195.5</v>
      </c>
      <c r="F38" s="4">
        <v>19</v>
      </c>
      <c r="G38" s="4"/>
      <c r="H38" s="4">
        <v>7.5</v>
      </c>
      <c r="I38" s="4">
        <f>E38-F38</f>
        <v>176.5</v>
      </c>
      <c r="J38" s="4"/>
      <c r="K38" s="4">
        <v>2</v>
      </c>
      <c r="L38" s="4">
        <f t="shared" si="1"/>
        <v>565</v>
      </c>
      <c r="N38" s="4"/>
      <c r="O38" s="4"/>
      <c r="P38" s="4"/>
      <c r="Q38" s="4"/>
      <c r="R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L38" s="4"/>
      <c r="AM38" s="4"/>
      <c r="AN38" s="4"/>
      <c r="AO38" s="4"/>
      <c r="AP38" s="4"/>
      <c r="AQ38" s="4"/>
      <c r="AR38" s="4"/>
    </row>
    <row r="39" spans="1:44" ht="41.25" customHeight="1" x14ac:dyDescent="0.2">
      <c r="A39" s="4">
        <v>36</v>
      </c>
      <c r="B39" s="10">
        <v>45874</v>
      </c>
      <c r="C39" s="4"/>
      <c r="D39" s="4"/>
      <c r="E39" s="4">
        <f t="shared" si="2"/>
        <v>195.5</v>
      </c>
      <c r="F39" s="4">
        <v>11</v>
      </c>
      <c r="G39" s="4"/>
      <c r="H39" s="4">
        <v>9</v>
      </c>
      <c r="I39" s="4">
        <f>E39-F39</f>
        <v>184.5</v>
      </c>
      <c r="J39" s="4"/>
      <c r="K39" s="4">
        <v>1</v>
      </c>
      <c r="L39" s="4">
        <f t="shared" si="1"/>
        <v>566</v>
      </c>
      <c r="N39" s="4"/>
      <c r="O39" s="4"/>
      <c r="P39" s="4"/>
      <c r="Q39" s="4"/>
      <c r="R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L39" s="4"/>
      <c r="AM39" s="4"/>
      <c r="AN39" s="4"/>
      <c r="AO39" s="4"/>
      <c r="AP39" s="4"/>
      <c r="AQ39" s="4"/>
      <c r="AR39" s="4"/>
    </row>
    <row r="40" spans="1:44" ht="41.25" customHeight="1" x14ac:dyDescent="0.2">
      <c r="A40" s="4">
        <v>37</v>
      </c>
      <c r="B40" s="10">
        <v>45875</v>
      </c>
      <c r="C40" s="4"/>
      <c r="D40" s="4"/>
      <c r="E40" s="4">
        <f t="shared" si="2"/>
        <v>195.5</v>
      </c>
      <c r="F40" s="4">
        <v>1</v>
      </c>
      <c r="G40" s="4"/>
      <c r="H40" s="4">
        <v>10</v>
      </c>
      <c r="I40" s="4">
        <f>E40-F40-G40</f>
        <v>194.5</v>
      </c>
      <c r="J40" s="4"/>
      <c r="K40" s="4">
        <v>5</v>
      </c>
      <c r="L40" s="4">
        <f t="shared" si="1"/>
        <v>571</v>
      </c>
      <c r="N40" s="4"/>
      <c r="O40" s="4"/>
      <c r="P40" s="4"/>
      <c r="Q40" s="4"/>
      <c r="R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L40" s="4"/>
      <c r="AM40" s="4"/>
      <c r="AN40" s="4"/>
      <c r="AO40" s="4"/>
      <c r="AP40" s="4"/>
      <c r="AQ40" s="4"/>
      <c r="AR40" s="4"/>
    </row>
    <row r="41" spans="1:44" ht="41.25" customHeight="1" x14ac:dyDescent="0.2">
      <c r="A41" s="4">
        <v>38</v>
      </c>
      <c r="B41" s="10">
        <v>45876</v>
      </c>
      <c r="C41" s="4">
        <v>15</v>
      </c>
      <c r="D41" s="4">
        <v>5</v>
      </c>
      <c r="E41" s="4">
        <f t="shared" si="2"/>
        <v>215.5</v>
      </c>
      <c r="F41" s="4">
        <v>8</v>
      </c>
      <c r="G41" s="4">
        <v>1</v>
      </c>
      <c r="H41" s="4">
        <v>12</v>
      </c>
      <c r="I41" s="4">
        <f>E41-F41-G41</f>
        <v>206.5</v>
      </c>
      <c r="J41" s="4"/>
      <c r="K41" s="4">
        <v>2</v>
      </c>
      <c r="L41" s="4">
        <f t="shared" si="1"/>
        <v>573</v>
      </c>
      <c r="N41" s="4"/>
      <c r="O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L41" s="4"/>
      <c r="AM41" s="4"/>
      <c r="AN41" s="4"/>
      <c r="AO41" s="4"/>
      <c r="AP41" s="4"/>
      <c r="AQ41" s="4"/>
      <c r="AR41" s="4"/>
    </row>
    <row r="42" spans="1:44" ht="41.25" customHeight="1" x14ac:dyDescent="0.2">
      <c r="A42" s="4">
        <v>39</v>
      </c>
      <c r="B42" s="10">
        <v>45877</v>
      </c>
      <c r="C42" s="4">
        <v>18</v>
      </c>
      <c r="D42" s="4"/>
      <c r="E42" s="4">
        <f t="shared" si="2"/>
        <v>233.5</v>
      </c>
      <c r="F42" s="4">
        <v>18</v>
      </c>
      <c r="G42" s="4">
        <v>1</v>
      </c>
      <c r="H42" s="4">
        <v>8</v>
      </c>
      <c r="I42" s="4">
        <f>E42-F42-G42</f>
        <v>214.5</v>
      </c>
      <c r="J42" s="4"/>
      <c r="K42" s="4">
        <v>5</v>
      </c>
      <c r="L42" s="4">
        <f t="shared" si="1"/>
        <v>578</v>
      </c>
      <c r="N42" s="4"/>
      <c r="O42" s="4"/>
      <c r="P42" s="4"/>
      <c r="Q42" s="4"/>
      <c r="R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L42" s="4"/>
      <c r="AM42" s="4"/>
      <c r="AN42" s="4"/>
      <c r="AO42" s="4"/>
      <c r="AP42" s="4"/>
      <c r="AQ42" s="4"/>
      <c r="AR42" s="4"/>
    </row>
    <row r="43" spans="1:44" ht="41.25" customHeight="1" x14ac:dyDescent="0.2">
      <c r="A43" s="4">
        <v>40</v>
      </c>
      <c r="B43" s="10">
        <v>45878</v>
      </c>
      <c r="C43" s="4"/>
      <c r="D43" s="4"/>
      <c r="E43" s="4">
        <f t="shared" si="2"/>
        <v>233.5</v>
      </c>
      <c r="F43" s="4">
        <v>17</v>
      </c>
      <c r="G43" s="4">
        <v>1</v>
      </c>
      <c r="H43" s="4">
        <v>1</v>
      </c>
      <c r="I43" s="4">
        <f>E43-F43-G43</f>
        <v>215.5</v>
      </c>
      <c r="J43" s="4"/>
      <c r="K43" s="4">
        <v>5</v>
      </c>
      <c r="L43" s="4">
        <f t="shared" si="1"/>
        <v>583</v>
      </c>
      <c r="N43" s="4"/>
      <c r="O43" s="4"/>
      <c r="P43" s="4"/>
      <c r="Q43" s="4"/>
      <c r="R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L43" s="4"/>
      <c r="AM43" s="4"/>
      <c r="AN43" s="4"/>
      <c r="AO43" s="4"/>
      <c r="AP43" s="4"/>
      <c r="AQ43" s="4"/>
      <c r="AR43" s="4"/>
    </row>
    <row r="44" spans="1:44" ht="41.25" customHeight="1" x14ac:dyDescent="0.2">
      <c r="A44" s="4">
        <v>41</v>
      </c>
      <c r="B44" s="10">
        <v>45879</v>
      </c>
      <c r="C44" s="4"/>
      <c r="D44" s="4"/>
      <c r="E44" s="4">
        <f t="shared" si="2"/>
        <v>233.5</v>
      </c>
      <c r="F44" s="4">
        <v>15</v>
      </c>
      <c r="G44" s="4"/>
      <c r="H44" s="4">
        <v>3</v>
      </c>
      <c r="I44" s="4">
        <f>E44-F44-G44</f>
        <v>218.5</v>
      </c>
      <c r="J44" s="4"/>
      <c r="K44" s="4"/>
      <c r="L44" s="4">
        <f t="shared" si="1"/>
        <v>583</v>
      </c>
      <c r="N44" s="4"/>
      <c r="O44" s="4"/>
      <c r="P44" s="4"/>
      <c r="Q44" s="4"/>
      <c r="R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L44" s="4"/>
      <c r="AM44" s="4"/>
      <c r="AN44" s="4"/>
      <c r="AO44" s="4"/>
      <c r="AP44" s="4"/>
      <c r="AQ44" s="4"/>
      <c r="AR44" s="4"/>
    </row>
    <row r="45" spans="1:44" ht="41.25" customHeight="1" x14ac:dyDescent="0.2">
      <c r="A45" s="4">
        <v>42</v>
      </c>
      <c r="B45" s="10">
        <v>45880</v>
      </c>
      <c r="C45" s="4"/>
      <c r="D45" s="4"/>
      <c r="E45" s="4">
        <f t="shared" si="2"/>
        <v>233.5</v>
      </c>
      <c r="F45" s="4">
        <v>12</v>
      </c>
      <c r="G45" s="4"/>
      <c r="H45" s="4">
        <v>3</v>
      </c>
      <c r="I45" s="4">
        <f t="shared" ref="I45:I50" si="4">E45-F45</f>
        <v>221.5</v>
      </c>
      <c r="J45" s="4"/>
      <c r="K45" s="4"/>
      <c r="L45" s="4">
        <f t="shared" si="1"/>
        <v>583</v>
      </c>
      <c r="N45" s="4"/>
      <c r="O45" s="4"/>
      <c r="P45" s="4"/>
      <c r="Q45" s="4"/>
      <c r="R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L45" s="4"/>
      <c r="AM45" s="4"/>
      <c r="AN45" s="4"/>
      <c r="AO45" s="4"/>
      <c r="AP45" s="4"/>
      <c r="AQ45" s="4"/>
      <c r="AR45" s="4"/>
    </row>
    <row r="46" spans="1:44" ht="41.25" customHeight="1" x14ac:dyDescent="0.2">
      <c r="A46" s="4">
        <v>43</v>
      </c>
      <c r="B46" s="10">
        <v>45881</v>
      </c>
      <c r="C46" s="4"/>
      <c r="D46" s="4"/>
      <c r="E46" s="4">
        <f t="shared" si="2"/>
        <v>233.5</v>
      </c>
      <c r="F46" s="4">
        <v>10</v>
      </c>
      <c r="G46" s="4"/>
      <c r="H46" s="4">
        <v>2</v>
      </c>
      <c r="I46" s="4">
        <f t="shared" si="4"/>
        <v>223.5</v>
      </c>
      <c r="J46" s="4"/>
      <c r="K46" s="4">
        <v>2</v>
      </c>
      <c r="L46" s="4">
        <f t="shared" si="1"/>
        <v>585</v>
      </c>
      <c r="N46" s="4"/>
      <c r="O46" s="4"/>
      <c r="P46" s="4"/>
      <c r="Q46" s="4"/>
      <c r="R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L46" s="4"/>
      <c r="AM46" s="4"/>
      <c r="AN46" s="4"/>
      <c r="AO46" s="4"/>
      <c r="AP46" s="4"/>
      <c r="AQ46" s="4"/>
      <c r="AR46" s="4"/>
    </row>
    <row r="47" spans="1:44" ht="41.25" customHeight="1" x14ac:dyDescent="0.2">
      <c r="A47" s="4">
        <v>44</v>
      </c>
      <c r="B47" s="10">
        <v>45882</v>
      </c>
      <c r="C47" s="4"/>
      <c r="D47" s="4"/>
      <c r="E47" s="4">
        <f t="shared" si="2"/>
        <v>233.5</v>
      </c>
      <c r="F47" s="4">
        <v>7</v>
      </c>
      <c r="G47" s="4"/>
      <c r="H47" s="4">
        <v>3</v>
      </c>
      <c r="I47" s="4">
        <f t="shared" si="4"/>
        <v>226.5</v>
      </c>
      <c r="J47" s="4"/>
      <c r="K47" s="4">
        <v>1</v>
      </c>
      <c r="L47" s="4">
        <f t="shared" si="1"/>
        <v>586</v>
      </c>
      <c r="N47" s="4"/>
      <c r="O47" s="4"/>
      <c r="P47" s="4"/>
      <c r="Q47" s="4"/>
      <c r="R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L47" s="4"/>
      <c r="AM47" s="4"/>
      <c r="AN47" s="4"/>
      <c r="AO47" s="4"/>
      <c r="AP47" s="4"/>
      <c r="AQ47" s="4"/>
      <c r="AR47" s="4"/>
    </row>
    <row r="48" spans="1:44" ht="41.25" customHeight="1" x14ac:dyDescent="0.2">
      <c r="A48" s="4">
        <v>45</v>
      </c>
      <c r="B48" s="10">
        <v>45883</v>
      </c>
      <c r="C48" s="4"/>
      <c r="D48" s="4"/>
      <c r="E48" s="4">
        <f t="shared" si="2"/>
        <v>233.5</v>
      </c>
      <c r="F48" s="4">
        <v>4</v>
      </c>
      <c r="G48" s="4"/>
      <c r="H48" s="4">
        <v>3</v>
      </c>
      <c r="I48" s="4">
        <f t="shared" si="4"/>
        <v>229.5</v>
      </c>
      <c r="J48" s="4"/>
      <c r="K48" s="4">
        <v>1</v>
      </c>
      <c r="L48" s="4">
        <f t="shared" si="1"/>
        <v>587</v>
      </c>
      <c r="N48" s="4"/>
      <c r="O48" s="4"/>
      <c r="P48" s="4"/>
      <c r="Q48" s="4"/>
      <c r="R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L48" s="4"/>
      <c r="AM48" s="4"/>
      <c r="AN48" s="4"/>
      <c r="AO48" s="4"/>
      <c r="AP48" s="4"/>
      <c r="AQ48" s="4"/>
      <c r="AR48" s="4"/>
    </row>
    <row r="49" spans="1:44" ht="41.25" customHeight="1" x14ac:dyDescent="0.2">
      <c r="A49" s="4">
        <v>46</v>
      </c>
      <c r="B49" s="10">
        <v>45884</v>
      </c>
      <c r="C49" s="4">
        <v>5</v>
      </c>
      <c r="D49" s="4"/>
      <c r="E49" s="4">
        <f t="shared" si="2"/>
        <v>238.5</v>
      </c>
      <c r="F49" s="4">
        <v>6</v>
      </c>
      <c r="G49" s="4"/>
      <c r="H49" s="4">
        <v>3</v>
      </c>
      <c r="I49" s="4">
        <f t="shared" si="4"/>
        <v>232.5</v>
      </c>
      <c r="J49" s="4"/>
      <c r="K49" s="4"/>
      <c r="L49" s="4">
        <f t="shared" si="1"/>
        <v>587</v>
      </c>
      <c r="N49" s="4"/>
      <c r="O49" s="4"/>
      <c r="P49" s="4"/>
      <c r="Q49" s="4"/>
      <c r="R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L49" s="4"/>
      <c r="AM49" s="4"/>
      <c r="AN49" s="4"/>
      <c r="AO49" s="4"/>
      <c r="AP49" s="4"/>
      <c r="AQ49" s="4"/>
      <c r="AR49" s="4"/>
    </row>
    <row r="50" spans="1:44" ht="41.25" customHeight="1" x14ac:dyDescent="0.2">
      <c r="A50" s="4">
        <v>47</v>
      </c>
      <c r="B50" s="10">
        <v>45885</v>
      </c>
      <c r="C50" s="4"/>
      <c r="D50" s="4"/>
      <c r="E50" s="4">
        <f t="shared" si="2"/>
        <v>238.5</v>
      </c>
      <c r="F50" s="4">
        <v>4.5</v>
      </c>
      <c r="G50" s="4"/>
      <c r="H50" s="4">
        <v>2.5</v>
      </c>
      <c r="I50" s="4">
        <f t="shared" si="4"/>
        <v>234</v>
      </c>
      <c r="J50" s="4"/>
      <c r="K50" s="4"/>
      <c r="L50" s="4">
        <f t="shared" si="1"/>
        <v>587</v>
      </c>
      <c r="N50" s="4"/>
      <c r="O50" s="4"/>
      <c r="P50" s="4"/>
      <c r="Q50" s="4"/>
      <c r="R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L50" s="4"/>
      <c r="AM50" s="4"/>
      <c r="AN50" s="4"/>
      <c r="AO50" s="4"/>
      <c r="AP50" s="4"/>
      <c r="AQ50" s="4"/>
      <c r="AR50" s="4"/>
    </row>
    <row r="51" spans="1:44" ht="41.25" customHeight="1" x14ac:dyDescent="0.2">
      <c r="A51" s="4">
        <v>48</v>
      </c>
      <c r="B51" s="10">
        <v>45886</v>
      </c>
      <c r="C51" s="4"/>
      <c r="D51" s="4"/>
      <c r="E51" s="4">
        <f t="shared" si="2"/>
        <v>238.5</v>
      </c>
      <c r="F51" s="4">
        <v>4</v>
      </c>
      <c r="G51" s="4"/>
      <c r="H51" s="4">
        <v>0.5</v>
      </c>
      <c r="I51" s="4">
        <f>E51-F51-G51</f>
        <v>234.5</v>
      </c>
      <c r="J51" s="4"/>
      <c r="K51" s="4">
        <v>4</v>
      </c>
      <c r="L51" s="4">
        <f t="shared" si="1"/>
        <v>591</v>
      </c>
      <c r="N51" s="4"/>
      <c r="O51" s="4"/>
      <c r="P51" s="4"/>
      <c r="Q51" s="4"/>
      <c r="R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L51" s="4"/>
      <c r="AM51" s="4"/>
      <c r="AN51" s="4"/>
      <c r="AO51" s="4"/>
      <c r="AP51" s="4"/>
      <c r="AQ51" s="4"/>
      <c r="AR51" s="4"/>
    </row>
    <row r="52" spans="1:44" ht="41.25" customHeight="1" x14ac:dyDescent="0.2">
      <c r="A52" s="4">
        <v>49</v>
      </c>
      <c r="B52" s="10">
        <v>45887</v>
      </c>
      <c r="C52" s="4"/>
      <c r="D52" s="4"/>
      <c r="E52" s="4">
        <f t="shared" si="2"/>
        <v>238.5</v>
      </c>
      <c r="F52" s="4"/>
      <c r="G52" s="4"/>
      <c r="H52" s="4"/>
      <c r="I52" s="4"/>
      <c r="J52" s="4"/>
      <c r="K52" s="4"/>
      <c r="L52" s="4">
        <f t="shared" si="1"/>
        <v>591</v>
      </c>
      <c r="N52" s="4"/>
      <c r="O52" s="4"/>
      <c r="P52" s="4"/>
      <c r="Q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L52" s="4"/>
      <c r="AM52" s="4"/>
      <c r="AN52" s="4"/>
      <c r="AO52" s="4"/>
      <c r="AP52" s="4"/>
      <c r="AQ52" s="4"/>
    </row>
    <row r="53" spans="1:44" ht="41.25" customHeight="1" x14ac:dyDescent="0.2">
      <c r="A53" s="4">
        <v>50</v>
      </c>
      <c r="B53" s="10">
        <v>45888</v>
      </c>
      <c r="C53" s="4"/>
      <c r="D53" s="4"/>
      <c r="E53" s="4">
        <f t="shared" si="2"/>
        <v>238.5</v>
      </c>
      <c r="F53" s="4"/>
      <c r="G53" s="4"/>
      <c r="H53" s="4"/>
      <c r="I53" s="4"/>
      <c r="J53" s="4"/>
      <c r="K53" s="4"/>
      <c r="L53" s="4">
        <f t="shared" si="1"/>
        <v>591</v>
      </c>
      <c r="N53" s="4"/>
      <c r="O53" s="4"/>
      <c r="P53" s="4"/>
      <c r="Q53" s="4"/>
      <c r="R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L53" s="4"/>
      <c r="AM53" s="4"/>
      <c r="AN53" s="4"/>
      <c r="AO53" s="4"/>
      <c r="AP53" s="4"/>
      <c r="AQ53" s="4"/>
      <c r="AR53" s="4"/>
    </row>
    <row r="54" spans="1:44" ht="41.25" customHeight="1" x14ac:dyDescent="0.2">
      <c r="H54" s="4"/>
      <c r="AD54" s="4"/>
      <c r="AE54" s="4"/>
      <c r="AF54" s="4"/>
      <c r="AG54" s="4"/>
      <c r="AH54" s="4"/>
      <c r="AI54" s="4"/>
      <c r="AJ54" s="4"/>
    </row>
    <row r="55" spans="1:44" ht="41.25" customHeight="1" x14ac:dyDescent="0.2">
      <c r="AD55" s="4"/>
      <c r="AE55" s="4"/>
      <c r="AF55" s="4"/>
      <c r="AG55" s="4"/>
      <c r="AH55" s="4"/>
      <c r="AI55" s="4"/>
      <c r="AJ55" s="4"/>
      <c r="AK55" s="1"/>
    </row>
    <row r="56" spans="1:44" ht="41.25" customHeight="1" x14ac:dyDescent="0.2">
      <c r="AL56" s="4"/>
      <c r="AM56" s="4"/>
      <c r="AN56" s="4"/>
      <c r="AO56" s="4"/>
      <c r="AP56" s="4"/>
      <c r="AQ56" s="4"/>
      <c r="AR56" s="4"/>
    </row>
    <row r="57" spans="1:44" ht="41.25" customHeight="1" x14ac:dyDescent="0.2">
      <c r="AL57" s="4"/>
      <c r="AM57" s="4"/>
      <c r="AN57" s="4"/>
      <c r="AO57" s="4"/>
      <c r="AP57" s="4"/>
      <c r="AQ57" s="4"/>
      <c r="AR57" s="4"/>
    </row>
    <row r="58" spans="1:44" ht="41.25" customHeight="1" x14ac:dyDescent="0.2">
      <c r="AL58" s="4"/>
      <c r="AM58" s="4"/>
      <c r="AN58" s="4"/>
      <c r="AO58" s="4"/>
      <c r="AP58" s="4"/>
      <c r="AQ58" s="4"/>
      <c r="AR58" s="4"/>
    </row>
    <row r="59" spans="1:44" ht="41.25" customHeight="1" x14ac:dyDescent="0.2">
      <c r="AL59" s="4"/>
      <c r="AM59" s="4"/>
      <c r="AN59" s="4"/>
      <c r="AO59" s="4"/>
      <c r="AP59" s="4"/>
      <c r="AQ59" s="4"/>
      <c r="AR59" s="4"/>
    </row>
    <row r="60" spans="1:44" ht="41.25" customHeight="1" x14ac:dyDescent="0.2">
      <c r="AL60" s="4"/>
      <c r="AM60" s="4"/>
      <c r="AN60" s="4"/>
      <c r="AO60" s="4"/>
      <c r="AP60" s="4"/>
      <c r="AQ60" s="4"/>
      <c r="AR60" s="4"/>
    </row>
    <row r="61" spans="1:44" ht="41.25" customHeight="1" x14ac:dyDescent="0.2">
      <c r="AL61" s="4"/>
      <c r="AM61" s="4"/>
      <c r="AN61" s="4"/>
      <c r="AO61" s="4"/>
      <c r="AP61" s="4"/>
      <c r="AQ61" s="4"/>
      <c r="AR61" s="4"/>
    </row>
    <row r="62" spans="1:44" ht="41.25" customHeight="1" x14ac:dyDescent="0.2">
      <c r="AL62" s="4"/>
      <c r="AM62" s="4"/>
      <c r="AN62" s="4"/>
      <c r="AO62" s="4"/>
      <c r="AP62" s="4"/>
      <c r="AQ62" s="4"/>
      <c r="AR62" s="4"/>
    </row>
    <row r="63" spans="1:44" ht="41.25" customHeight="1" x14ac:dyDescent="0.2">
      <c r="AL63" s="4"/>
      <c r="AM63" s="4"/>
      <c r="AN63" s="4"/>
      <c r="AO63" s="4"/>
      <c r="AP63" s="4"/>
      <c r="AQ63" s="4"/>
      <c r="AR63" s="4"/>
    </row>
    <row r="64" spans="1:44" ht="41.25" customHeight="1" x14ac:dyDescent="0.2">
      <c r="AL64" s="4"/>
      <c r="AM64" s="4"/>
      <c r="AN64" s="4"/>
      <c r="AO64" s="4"/>
      <c r="AP64" s="4"/>
      <c r="AQ64" s="4"/>
      <c r="AR64" s="4"/>
    </row>
  </sheetData>
  <mergeCells count="11">
    <mergeCell ref="C1:K1"/>
    <mergeCell ref="T1:AJ1"/>
    <mergeCell ref="A2:B2"/>
    <mergeCell ref="C2:K2"/>
    <mergeCell ref="AB2:AE2"/>
    <mergeCell ref="AL2:AR2"/>
    <mergeCell ref="N1:R1"/>
    <mergeCell ref="N2:R2"/>
    <mergeCell ref="T2:U2"/>
    <mergeCell ref="V2:W2"/>
    <mergeCell ref="X2:Y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6A38C-8FA1-4CD2-9254-22B11839DD4A}">
  <dimension ref="A1"/>
  <sheetViews>
    <sheetView workbookViewId="0">
      <selection sqref="A1:XFD1048576"/>
    </sheetView>
  </sheetViews>
  <sheetFormatPr defaultRowHeight="14.25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5DD0-778D-472F-B4FF-5A57C477735C}">
  <dimension ref="A1:W93"/>
  <sheetViews>
    <sheetView workbookViewId="0">
      <selection activeCell="L26" sqref="L26"/>
    </sheetView>
  </sheetViews>
  <sheetFormatPr defaultRowHeight="14.25" x14ac:dyDescent="0.2"/>
  <cols>
    <col min="1" max="15" width="14.25" customWidth="1"/>
    <col min="16" max="57" width="15.375" customWidth="1"/>
  </cols>
  <sheetData>
    <row r="1" spans="1:23" ht="46.5" customHeight="1" x14ac:dyDescent="0.2">
      <c r="A1">
        <v>300</v>
      </c>
      <c r="B1">
        <v>2100000</v>
      </c>
      <c r="D1">
        <v>100</v>
      </c>
      <c r="E1">
        <v>700000</v>
      </c>
      <c r="G1">
        <v>220</v>
      </c>
      <c r="H1">
        <v>2420000</v>
      </c>
      <c r="J1">
        <v>40</v>
      </c>
      <c r="K1">
        <v>440000</v>
      </c>
      <c r="M1">
        <v>160</v>
      </c>
      <c r="N1">
        <v>1120000</v>
      </c>
      <c r="P1">
        <v>200</v>
      </c>
      <c r="Q1">
        <v>2200000</v>
      </c>
      <c r="S1">
        <v>226</v>
      </c>
      <c r="T1">
        <v>1582000</v>
      </c>
      <c r="V1">
        <v>12.5</v>
      </c>
      <c r="W1">
        <v>137500</v>
      </c>
    </row>
    <row r="2" spans="1:23" ht="46.5" customHeight="1" x14ac:dyDescent="0.2">
      <c r="A2">
        <v>60</v>
      </c>
      <c r="B2">
        <v>420000</v>
      </c>
      <c r="D2">
        <v>1.8</v>
      </c>
      <c r="E2">
        <v>18000</v>
      </c>
      <c r="G2">
        <v>140</v>
      </c>
      <c r="H2">
        <v>980000</v>
      </c>
      <c r="J2">
        <v>20</v>
      </c>
      <c r="K2">
        <v>140000</v>
      </c>
      <c r="M2">
        <v>204</v>
      </c>
      <c r="N2">
        <v>2244000</v>
      </c>
      <c r="P2">
        <v>222.5</v>
      </c>
      <c r="Q2">
        <v>1557500</v>
      </c>
      <c r="S2">
        <v>180</v>
      </c>
      <c r="T2">
        <v>1980000</v>
      </c>
      <c r="V2">
        <v>15</v>
      </c>
      <c r="W2">
        <v>165000</v>
      </c>
    </row>
    <row r="3" spans="1:23" ht="46.5" customHeight="1" x14ac:dyDescent="0.2">
      <c r="A3">
        <v>40</v>
      </c>
      <c r="B3">
        <v>280000</v>
      </c>
      <c r="D3">
        <v>20</v>
      </c>
      <c r="E3">
        <v>140000</v>
      </c>
      <c r="G3">
        <v>261</v>
      </c>
      <c r="H3">
        <v>1827000</v>
      </c>
      <c r="J3">
        <v>240</v>
      </c>
      <c r="K3">
        <v>2640000</v>
      </c>
      <c r="M3">
        <v>100</v>
      </c>
      <c r="N3">
        <v>700000</v>
      </c>
      <c r="P3">
        <v>155.5</v>
      </c>
      <c r="Q3">
        <v>1088500</v>
      </c>
      <c r="S3">
        <v>220</v>
      </c>
      <c r="T3">
        <v>1540000</v>
      </c>
      <c r="V3">
        <v>8</v>
      </c>
      <c r="W3">
        <v>96000</v>
      </c>
    </row>
    <row r="4" spans="1:23" ht="46.5" customHeight="1" x14ac:dyDescent="0.2">
      <c r="A4">
        <v>180</v>
      </c>
      <c r="B4">
        <v>1260000</v>
      </c>
      <c r="D4">
        <v>10</v>
      </c>
      <c r="E4">
        <v>90000</v>
      </c>
      <c r="G4">
        <v>220</v>
      </c>
      <c r="H4">
        <v>2420000</v>
      </c>
      <c r="J4">
        <v>175.5</v>
      </c>
      <c r="K4">
        <v>1228500</v>
      </c>
      <c r="M4">
        <v>5</v>
      </c>
      <c r="N4">
        <v>50000</v>
      </c>
      <c r="P4">
        <v>4.5</v>
      </c>
      <c r="Q4">
        <v>45000</v>
      </c>
      <c r="S4">
        <v>174</v>
      </c>
      <c r="T4">
        <v>1218000</v>
      </c>
      <c r="V4">
        <v>9</v>
      </c>
      <c r="W4">
        <v>63000</v>
      </c>
    </row>
    <row r="5" spans="1:23" ht="46.5" customHeight="1" x14ac:dyDescent="0.2">
      <c r="A5">
        <v>240</v>
      </c>
      <c r="B5">
        <v>2640000</v>
      </c>
      <c r="D5">
        <v>10</v>
      </c>
      <c r="E5">
        <v>110000</v>
      </c>
      <c r="G5">
        <v>260</v>
      </c>
      <c r="H5">
        <v>1820000</v>
      </c>
      <c r="J5">
        <v>255.5</v>
      </c>
      <c r="K5">
        <v>1788500</v>
      </c>
      <c r="M5">
        <v>3.5</v>
      </c>
      <c r="N5">
        <v>24500</v>
      </c>
      <c r="P5">
        <v>220</v>
      </c>
      <c r="Q5">
        <v>2420000</v>
      </c>
      <c r="S5">
        <v>90</v>
      </c>
      <c r="T5">
        <v>990000</v>
      </c>
      <c r="V5">
        <v>21</v>
      </c>
      <c r="W5">
        <v>210000</v>
      </c>
    </row>
    <row r="6" spans="1:23" ht="46.5" customHeight="1" x14ac:dyDescent="0.2">
      <c r="A6">
        <v>15</v>
      </c>
      <c r="B6">
        <v>105000</v>
      </c>
      <c r="D6">
        <v>120</v>
      </c>
      <c r="E6">
        <v>132000</v>
      </c>
      <c r="G6">
        <v>280</v>
      </c>
      <c r="H6">
        <v>1960000</v>
      </c>
      <c r="J6">
        <v>13</v>
      </c>
      <c r="K6">
        <v>130000</v>
      </c>
      <c r="M6">
        <v>286.5</v>
      </c>
      <c r="N6">
        <v>2005500</v>
      </c>
      <c r="P6">
        <v>160</v>
      </c>
      <c r="Q6">
        <v>1120000</v>
      </c>
      <c r="S6">
        <f>SUM(S1:S5)</f>
        <v>890</v>
      </c>
      <c r="T6">
        <f>SUM(T1:T5)</f>
        <v>7310000</v>
      </c>
      <c r="V6">
        <v>2.5</v>
      </c>
      <c r="W6">
        <v>17500</v>
      </c>
    </row>
    <row r="7" spans="1:23" ht="46.5" customHeight="1" x14ac:dyDescent="0.2">
      <c r="A7">
        <v>240</v>
      </c>
      <c r="B7">
        <v>1680000</v>
      </c>
      <c r="D7">
        <v>160</v>
      </c>
      <c r="E7">
        <v>1120000</v>
      </c>
      <c r="G7">
        <v>60</v>
      </c>
      <c r="H7">
        <v>660000</v>
      </c>
      <c r="J7">
        <v>7.5</v>
      </c>
      <c r="K7">
        <v>52500</v>
      </c>
      <c r="M7">
        <v>200</v>
      </c>
      <c r="N7">
        <v>2200000</v>
      </c>
      <c r="P7">
        <v>153</v>
      </c>
      <c r="Q7">
        <v>1071000</v>
      </c>
      <c r="V7">
        <v>156</v>
      </c>
      <c r="W7">
        <v>1716000</v>
      </c>
    </row>
    <row r="8" spans="1:23" ht="46.5" customHeight="1" x14ac:dyDescent="0.2">
      <c r="A8">
        <v>160</v>
      </c>
      <c r="B8">
        <v>1120000</v>
      </c>
      <c r="D8">
        <v>220</v>
      </c>
      <c r="E8">
        <v>2420000</v>
      </c>
      <c r="G8">
        <v>160</v>
      </c>
      <c r="H8">
        <v>1120000</v>
      </c>
      <c r="J8">
        <v>240</v>
      </c>
      <c r="K8">
        <v>2640000</v>
      </c>
      <c r="M8">
        <v>120</v>
      </c>
      <c r="N8">
        <v>840000</v>
      </c>
      <c r="P8">
        <v>4.5</v>
      </c>
      <c r="Q8">
        <v>45000</v>
      </c>
      <c r="V8">
        <v>23.5</v>
      </c>
      <c r="W8">
        <v>211500</v>
      </c>
    </row>
    <row r="9" spans="1:23" ht="46.5" customHeight="1" x14ac:dyDescent="0.2">
      <c r="A9">
        <v>60</v>
      </c>
      <c r="B9">
        <v>660000</v>
      </c>
      <c r="D9">
        <v>80</v>
      </c>
      <c r="E9">
        <v>560000</v>
      </c>
      <c r="G9">
        <v>140</v>
      </c>
      <c r="H9">
        <v>980000</v>
      </c>
      <c r="J9">
        <v>252.5</v>
      </c>
      <c r="K9">
        <v>1767500</v>
      </c>
      <c r="M9">
        <v>5</v>
      </c>
      <c r="N9">
        <v>50000</v>
      </c>
      <c r="P9">
        <v>240</v>
      </c>
      <c r="Q9">
        <v>2640000</v>
      </c>
      <c r="V9">
        <v>107.5</v>
      </c>
      <c r="W9">
        <v>752500</v>
      </c>
    </row>
    <row r="10" spans="1:23" ht="46.5" customHeight="1" x14ac:dyDescent="0.2">
      <c r="A10">
        <v>63.5</v>
      </c>
      <c r="B10">
        <v>444500</v>
      </c>
      <c r="D10">
        <v>140</v>
      </c>
      <c r="E10">
        <v>980000</v>
      </c>
      <c r="G10">
        <v>80</v>
      </c>
      <c r="H10">
        <v>560000</v>
      </c>
      <c r="J10">
        <v>9.5</v>
      </c>
      <c r="K10">
        <v>66500</v>
      </c>
      <c r="M10">
        <v>3.5</v>
      </c>
      <c r="N10">
        <v>24500</v>
      </c>
      <c r="P10">
        <v>140</v>
      </c>
      <c r="Q10">
        <v>980000</v>
      </c>
      <c r="V10">
        <v>5.5</v>
      </c>
      <c r="W10">
        <v>38500</v>
      </c>
    </row>
    <row r="11" spans="1:23" ht="46.5" customHeight="1" x14ac:dyDescent="0.2">
      <c r="A11">
        <v>200</v>
      </c>
      <c r="B11">
        <v>2200000</v>
      </c>
      <c r="D11">
        <v>3.7</v>
      </c>
      <c r="E11">
        <v>25900</v>
      </c>
      <c r="G11">
        <v>30</v>
      </c>
      <c r="H11">
        <v>210000</v>
      </c>
      <c r="J11">
        <v>203</v>
      </c>
      <c r="K11">
        <v>2233000</v>
      </c>
      <c r="M11">
        <v>160</v>
      </c>
      <c r="N11">
        <v>1120000</v>
      </c>
      <c r="P11">
        <v>4.5</v>
      </c>
      <c r="Q11">
        <v>45000</v>
      </c>
      <c r="V11">
        <v>40</v>
      </c>
      <c r="W11">
        <v>280000</v>
      </c>
    </row>
    <row r="12" spans="1:23" ht="46.5" customHeight="1" x14ac:dyDescent="0.2">
      <c r="A12">
        <v>220</v>
      </c>
      <c r="B12">
        <v>1540000</v>
      </c>
      <c r="D12">
        <v>267</v>
      </c>
      <c r="E12">
        <v>1869000</v>
      </c>
      <c r="G12">
        <v>60</v>
      </c>
      <c r="H12">
        <v>660000</v>
      </c>
      <c r="J12">
        <v>254.5</v>
      </c>
      <c r="K12">
        <v>1781500</v>
      </c>
      <c r="M12">
        <v>40</v>
      </c>
      <c r="N12">
        <v>280000</v>
      </c>
      <c r="P12">
        <v>49</v>
      </c>
      <c r="Q12">
        <v>539000</v>
      </c>
      <c r="V12">
        <v>3.5</v>
      </c>
      <c r="W12">
        <v>35000</v>
      </c>
    </row>
    <row r="13" spans="1:23" ht="46.5" customHeight="1" x14ac:dyDescent="0.2">
      <c r="A13">
        <v>10</v>
      </c>
      <c r="B13">
        <v>90000</v>
      </c>
      <c r="D13">
        <v>179.5</v>
      </c>
      <c r="E13">
        <v>1974500</v>
      </c>
      <c r="G13">
        <v>60</v>
      </c>
      <c r="H13">
        <v>660000</v>
      </c>
      <c r="J13">
        <v>253.5</v>
      </c>
      <c r="K13">
        <v>1774500</v>
      </c>
      <c r="M13">
        <v>200</v>
      </c>
      <c r="N13">
        <v>2200000</v>
      </c>
      <c r="P13">
        <v>240</v>
      </c>
      <c r="Q13">
        <v>1680000</v>
      </c>
      <c r="V13">
        <v>40</v>
      </c>
      <c r="W13">
        <v>440000</v>
      </c>
    </row>
    <row r="14" spans="1:23" ht="46.5" customHeight="1" x14ac:dyDescent="0.2">
      <c r="A14">
        <v>267.5</v>
      </c>
      <c r="B14">
        <v>1872500</v>
      </c>
      <c r="D14">
        <v>333</v>
      </c>
      <c r="E14">
        <v>2331000</v>
      </c>
      <c r="G14">
        <v>20</v>
      </c>
      <c r="H14">
        <v>140000</v>
      </c>
      <c r="J14">
        <v>9.5</v>
      </c>
      <c r="K14">
        <v>66500</v>
      </c>
      <c r="M14">
        <v>240</v>
      </c>
      <c r="N14">
        <v>1680000</v>
      </c>
      <c r="P14">
        <v>80</v>
      </c>
      <c r="Q14">
        <v>560000</v>
      </c>
      <c r="V14">
        <v>92.9</v>
      </c>
      <c r="W14">
        <v>650300</v>
      </c>
    </row>
    <row r="15" spans="1:23" ht="46.5" customHeight="1" x14ac:dyDescent="0.2">
      <c r="A15">
        <v>7</v>
      </c>
      <c r="B15">
        <v>49000</v>
      </c>
      <c r="D15">
        <v>1.5</v>
      </c>
      <c r="E15">
        <v>13500</v>
      </c>
      <c r="G15">
        <v>200</v>
      </c>
      <c r="H15">
        <v>1400000</v>
      </c>
      <c r="J15">
        <v>94.5</v>
      </c>
      <c r="K15">
        <v>661500</v>
      </c>
      <c r="M15">
        <v>5.5</v>
      </c>
      <c r="N15">
        <v>55000</v>
      </c>
      <c r="P15">
        <v>4.5</v>
      </c>
      <c r="Q15">
        <v>45000</v>
      </c>
      <c r="V15">
        <v>22</v>
      </c>
      <c r="W15">
        <v>198000</v>
      </c>
    </row>
    <row r="16" spans="1:23" ht="46.5" customHeight="1" x14ac:dyDescent="0.2">
      <c r="A16">
        <v>200</v>
      </c>
      <c r="B16">
        <v>2200000</v>
      </c>
      <c r="D16">
        <v>3.5</v>
      </c>
      <c r="E16">
        <v>24500</v>
      </c>
      <c r="G16">
        <v>11</v>
      </c>
      <c r="H16">
        <v>99000</v>
      </c>
      <c r="J16">
        <v>80</v>
      </c>
      <c r="K16">
        <v>560000</v>
      </c>
      <c r="M16">
        <v>3.5</v>
      </c>
      <c r="N16">
        <v>24500</v>
      </c>
      <c r="P16">
        <v>115.5</v>
      </c>
      <c r="Q16">
        <v>1270500</v>
      </c>
      <c r="V16">
        <v>4.5</v>
      </c>
      <c r="W16">
        <v>31500</v>
      </c>
    </row>
    <row r="17" spans="1:23" ht="46.5" customHeight="1" x14ac:dyDescent="0.2">
      <c r="A17">
        <v>40</v>
      </c>
      <c r="B17">
        <v>280000</v>
      </c>
      <c r="D17">
        <f>SUM(D1:D16)</f>
        <v>1650</v>
      </c>
      <c r="E17">
        <f>SUM(E1:E16)</f>
        <v>12508400</v>
      </c>
      <c r="G17">
        <v>5</v>
      </c>
      <c r="H17">
        <v>35000</v>
      </c>
      <c r="J17">
        <v>8.5</v>
      </c>
      <c r="K17">
        <v>59500</v>
      </c>
      <c r="M17">
        <v>144</v>
      </c>
      <c r="N17">
        <v>1008000</v>
      </c>
      <c r="P17">
        <v>155</v>
      </c>
      <c r="Q17">
        <v>1085000</v>
      </c>
      <c r="V17">
        <v>40</v>
      </c>
      <c r="W17">
        <v>280000</v>
      </c>
    </row>
    <row r="18" spans="1:23" ht="46.5" customHeight="1" x14ac:dyDescent="0.2">
      <c r="A18">
        <v>100</v>
      </c>
      <c r="B18">
        <v>700000</v>
      </c>
      <c r="G18">
        <v>8</v>
      </c>
      <c r="H18">
        <v>72000</v>
      </c>
      <c r="J18">
        <v>7</v>
      </c>
      <c r="K18">
        <v>77000</v>
      </c>
      <c r="M18">
        <v>4</v>
      </c>
      <c r="N18">
        <v>40000</v>
      </c>
      <c r="P18">
        <v>4.5</v>
      </c>
      <c r="Q18">
        <v>45000</v>
      </c>
      <c r="V18">
        <v>2.5</v>
      </c>
      <c r="W18">
        <v>25000</v>
      </c>
    </row>
    <row r="19" spans="1:23" ht="46.5" customHeight="1" x14ac:dyDescent="0.2">
      <c r="A19">
        <v>127</v>
      </c>
      <c r="B19">
        <v>1397000</v>
      </c>
      <c r="G19">
        <v>9</v>
      </c>
      <c r="H19">
        <v>99000</v>
      </c>
      <c r="J19">
        <v>3</v>
      </c>
      <c r="K19">
        <v>30000</v>
      </c>
      <c r="M19">
        <v>14.5</v>
      </c>
      <c r="N19">
        <v>101500</v>
      </c>
      <c r="P19">
        <v>100</v>
      </c>
      <c r="Q19">
        <v>700000</v>
      </c>
      <c r="V19">
        <v>200</v>
      </c>
      <c r="W19">
        <v>2200000</v>
      </c>
    </row>
    <row r="20" spans="1:23" ht="46.5" customHeight="1" x14ac:dyDescent="0.2">
      <c r="A20">
        <v>40</v>
      </c>
      <c r="B20">
        <v>280000</v>
      </c>
      <c r="G20">
        <v>6</v>
      </c>
      <c r="H20">
        <v>54000</v>
      </c>
      <c r="J20">
        <v>3</v>
      </c>
      <c r="K20">
        <v>36000</v>
      </c>
      <c r="M20">
        <v>2</v>
      </c>
      <c r="N20">
        <v>22000</v>
      </c>
      <c r="P20">
        <v>14.5</v>
      </c>
      <c r="Q20">
        <v>159500</v>
      </c>
      <c r="V20">
        <v>90</v>
      </c>
      <c r="W20">
        <v>630000</v>
      </c>
    </row>
    <row r="21" spans="1:23" ht="46.5" customHeight="1" x14ac:dyDescent="0.2">
      <c r="A21">
        <v>40</v>
      </c>
      <c r="B21">
        <v>280000</v>
      </c>
      <c r="G21">
        <f>SUM(G1:G20)</f>
        <v>2230</v>
      </c>
      <c r="H21">
        <f>SUM(H1:H20)</f>
        <v>18176000</v>
      </c>
      <c r="J21">
        <v>12.5</v>
      </c>
      <c r="K21">
        <v>125000</v>
      </c>
      <c r="M21">
        <f>SUM(M1:M20)</f>
        <v>1901</v>
      </c>
      <c r="N21">
        <f>SUM(N1:N20)</f>
        <v>15789500</v>
      </c>
      <c r="P21">
        <v>9</v>
      </c>
      <c r="Q21">
        <v>63000</v>
      </c>
      <c r="V21">
        <v>22.5</v>
      </c>
      <c r="W21">
        <v>202500</v>
      </c>
    </row>
    <row r="22" spans="1:23" ht="46.5" customHeight="1" x14ac:dyDescent="0.2">
      <c r="A22">
        <f>SUM(A1:A21)</f>
        <v>2610</v>
      </c>
      <c r="B22">
        <f>SUM(B1:B21)</f>
        <v>21598000</v>
      </c>
      <c r="J22">
        <v>10</v>
      </c>
      <c r="K22">
        <v>60000</v>
      </c>
      <c r="P22">
        <v>10</v>
      </c>
      <c r="Q22">
        <v>100000</v>
      </c>
      <c r="V22">
        <v>4.5</v>
      </c>
      <c r="W22">
        <v>31500</v>
      </c>
    </row>
    <row r="23" spans="1:23" ht="46.5" customHeight="1" x14ac:dyDescent="0.2">
      <c r="J23">
        <f>SUM(J1:J22)</f>
        <v>2192.5</v>
      </c>
      <c r="K23">
        <f>SUM(K1:K22)</f>
        <v>18358000</v>
      </c>
      <c r="P23">
        <v>13</v>
      </c>
      <c r="Q23">
        <v>130000</v>
      </c>
      <c r="V23">
        <v>40</v>
      </c>
      <c r="W23">
        <v>280000</v>
      </c>
    </row>
    <row r="24" spans="1:23" ht="51.75" customHeight="1" x14ac:dyDescent="0.2">
      <c r="B24">
        <f>A22+D17+G21+J23+M21+P24+S6+V36</f>
        <v>15060.9</v>
      </c>
      <c r="D24">
        <f>B22+E17+H21+K23+N21+Q24+T6+W36</f>
        <v>125048200</v>
      </c>
      <c r="P24">
        <f>SUM(P1:P23)</f>
        <v>2299.5</v>
      </c>
      <c r="Q24">
        <f>SUM(Q1:Q23)</f>
        <v>19589000</v>
      </c>
      <c r="V24">
        <v>3</v>
      </c>
      <c r="W24">
        <v>30000</v>
      </c>
    </row>
    <row r="25" spans="1:23" ht="51.75" customHeight="1" x14ac:dyDescent="0.2">
      <c r="V25">
        <v>22.5</v>
      </c>
      <c r="W25">
        <v>202500</v>
      </c>
    </row>
    <row r="26" spans="1:23" ht="51.75" customHeight="1" x14ac:dyDescent="0.2">
      <c r="V26">
        <v>5.5</v>
      </c>
      <c r="W26">
        <v>38500</v>
      </c>
    </row>
    <row r="27" spans="1:23" ht="51.75" customHeight="1" x14ac:dyDescent="0.2">
      <c r="V27">
        <v>40</v>
      </c>
      <c r="W27">
        <v>280000</v>
      </c>
    </row>
    <row r="28" spans="1:23" ht="51.75" customHeight="1" x14ac:dyDescent="0.2">
      <c r="V28">
        <v>2.5</v>
      </c>
      <c r="W28">
        <v>25000</v>
      </c>
    </row>
    <row r="29" spans="1:23" ht="51.75" customHeight="1" x14ac:dyDescent="0.2">
      <c r="V29">
        <v>160</v>
      </c>
      <c r="W29">
        <v>1760000</v>
      </c>
    </row>
    <row r="30" spans="1:23" ht="51.75" customHeight="1" x14ac:dyDescent="0.2">
      <c r="V30">
        <v>22</v>
      </c>
      <c r="W30">
        <v>198000</v>
      </c>
    </row>
    <row r="31" spans="1:23" ht="51.75" customHeight="1" x14ac:dyDescent="0.2">
      <c r="V31">
        <v>4.5</v>
      </c>
      <c r="W31">
        <v>31500</v>
      </c>
    </row>
    <row r="32" spans="1:23" ht="51.75" customHeight="1" x14ac:dyDescent="0.2">
      <c r="V32">
        <v>2.5</v>
      </c>
      <c r="W32">
        <v>25000</v>
      </c>
    </row>
    <row r="33" spans="22:23" ht="51.75" customHeight="1" x14ac:dyDescent="0.2">
      <c r="V33">
        <v>50</v>
      </c>
      <c r="W33">
        <v>350000</v>
      </c>
    </row>
    <row r="34" spans="22:23" ht="51.75" customHeight="1" x14ac:dyDescent="0.2">
      <c r="V34">
        <v>10.5</v>
      </c>
      <c r="W34">
        <v>73500</v>
      </c>
    </row>
    <row r="35" spans="22:23" ht="51.75" customHeight="1" x14ac:dyDescent="0.2">
      <c r="V35">
        <v>2</v>
      </c>
      <c r="W35">
        <v>14000</v>
      </c>
    </row>
    <row r="36" spans="22:23" ht="51.75" customHeight="1" x14ac:dyDescent="0.2">
      <c r="V36">
        <f>SUM(V1:V35)</f>
        <v>1287.9000000000001</v>
      </c>
      <c r="W36">
        <f>SUM(W1:W35)</f>
        <v>11719300</v>
      </c>
    </row>
    <row r="37" spans="22:23" ht="51.75" customHeight="1" x14ac:dyDescent="0.2"/>
    <row r="38" spans="22:23" ht="51.75" customHeight="1" x14ac:dyDescent="0.2"/>
    <row r="39" spans="22:23" ht="51.75" customHeight="1" x14ac:dyDescent="0.2"/>
    <row r="40" spans="22:23" ht="51.75" customHeight="1" x14ac:dyDescent="0.2"/>
    <row r="41" spans="22:23" ht="51.75" customHeight="1" x14ac:dyDescent="0.2"/>
    <row r="42" spans="22:23" ht="51.75" customHeight="1" x14ac:dyDescent="0.2"/>
    <row r="43" spans="22:23" ht="51.75" customHeight="1" x14ac:dyDescent="0.2"/>
    <row r="44" spans="22:23" ht="51.75" customHeight="1" x14ac:dyDescent="0.2"/>
    <row r="45" spans="22:23" ht="51.75" customHeight="1" x14ac:dyDescent="0.2"/>
    <row r="46" spans="22:23" ht="51.75" customHeight="1" x14ac:dyDescent="0.2"/>
    <row r="47" spans="22:23" ht="51.75" customHeight="1" x14ac:dyDescent="0.2"/>
    <row r="48" spans="22:23" ht="51.75" customHeight="1" x14ac:dyDescent="0.2"/>
    <row r="49" ht="51.75" customHeight="1" x14ac:dyDescent="0.2"/>
    <row r="50" ht="51.75" customHeight="1" x14ac:dyDescent="0.2"/>
    <row r="51" ht="51.75" customHeight="1" x14ac:dyDescent="0.2"/>
    <row r="52" ht="51.75" customHeight="1" x14ac:dyDescent="0.2"/>
    <row r="53" ht="51.75" customHeight="1" x14ac:dyDescent="0.2"/>
    <row r="54" ht="51.75" customHeight="1" x14ac:dyDescent="0.2"/>
    <row r="55" ht="51.75" customHeight="1" x14ac:dyDescent="0.2"/>
    <row r="56" ht="51.75" customHeight="1" x14ac:dyDescent="0.2"/>
    <row r="57" ht="51.75" customHeight="1" x14ac:dyDescent="0.2"/>
    <row r="58" ht="51.75" customHeight="1" x14ac:dyDescent="0.2"/>
    <row r="59" ht="51.75" customHeight="1" x14ac:dyDescent="0.2"/>
    <row r="60" ht="51.75" customHeight="1" x14ac:dyDescent="0.2"/>
    <row r="61" ht="51.75" customHeight="1" x14ac:dyDescent="0.2"/>
    <row r="62" ht="51.75" customHeight="1" x14ac:dyDescent="0.2"/>
    <row r="63" ht="51.75" customHeight="1" x14ac:dyDescent="0.2"/>
    <row r="64" ht="51.75" customHeight="1" x14ac:dyDescent="0.2"/>
    <row r="65" ht="51.75" customHeight="1" x14ac:dyDescent="0.2"/>
    <row r="66" ht="51.75" customHeight="1" x14ac:dyDescent="0.2"/>
    <row r="67" ht="51.75" customHeight="1" x14ac:dyDescent="0.2"/>
    <row r="68" ht="51.75" customHeight="1" x14ac:dyDescent="0.2"/>
    <row r="69" ht="51.75" customHeight="1" x14ac:dyDescent="0.2"/>
    <row r="70" ht="51.75" customHeight="1" x14ac:dyDescent="0.2"/>
    <row r="71" ht="51.75" customHeight="1" x14ac:dyDescent="0.2"/>
    <row r="72" ht="51.75" customHeight="1" x14ac:dyDescent="0.2"/>
    <row r="73" ht="51.75" customHeight="1" x14ac:dyDescent="0.2"/>
    <row r="74" ht="51.75" customHeight="1" x14ac:dyDescent="0.2"/>
    <row r="75" ht="51.75" customHeight="1" x14ac:dyDescent="0.2"/>
    <row r="76" ht="51.75" customHeight="1" x14ac:dyDescent="0.2"/>
    <row r="77" ht="51.75" customHeight="1" x14ac:dyDescent="0.2"/>
    <row r="78" ht="51.75" customHeight="1" x14ac:dyDescent="0.2"/>
    <row r="79" ht="51.75" customHeight="1" x14ac:dyDescent="0.2"/>
    <row r="80" ht="51.75" customHeight="1" x14ac:dyDescent="0.2"/>
    <row r="81" ht="51.75" customHeight="1" x14ac:dyDescent="0.2"/>
    <row r="82" ht="51.75" customHeight="1" x14ac:dyDescent="0.2"/>
    <row r="83" ht="51.75" customHeight="1" x14ac:dyDescent="0.2"/>
    <row r="84" ht="51.75" customHeight="1" x14ac:dyDescent="0.2"/>
    <row r="85" ht="51.75" customHeight="1" x14ac:dyDescent="0.2"/>
    <row r="86" ht="51.75" customHeight="1" x14ac:dyDescent="0.2"/>
    <row r="87" ht="51.75" customHeight="1" x14ac:dyDescent="0.2"/>
    <row r="88" ht="51.75" customHeight="1" x14ac:dyDescent="0.2"/>
    <row r="89" ht="51.75" customHeight="1" x14ac:dyDescent="0.2"/>
    <row r="90" ht="51.75" customHeight="1" x14ac:dyDescent="0.2"/>
    <row r="91" ht="51.75" customHeight="1" x14ac:dyDescent="0.2"/>
    <row r="92" ht="51.75" customHeight="1" x14ac:dyDescent="0.2"/>
    <row r="93" ht="51.75" customHeight="1" x14ac:dyDescent="0.2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4C24-F705-4D6C-8F5F-9D019E8364FA}">
  <dimension ref="M1:AK1"/>
  <sheetViews>
    <sheetView topLeftCell="F4" workbookViewId="0">
      <selection activeCell="H21" sqref="H21"/>
    </sheetView>
  </sheetViews>
  <sheetFormatPr defaultColWidth="12.125" defaultRowHeight="18" x14ac:dyDescent="0.2"/>
  <cols>
    <col min="1" max="12" width="12.125" style="1"/>
    <col min="13" max="13" width="12.125" style="3"/>
    <col min="14" max="18" width="12.125" style="1"/>
    <col min="19" max="19" width="12.125" style="2"/>
    <col min="20" max="36" width="12.125" style="1"/>
    <col min="37" max="37" width="12.125" style="7"/>
    <col min="38" max="16384" width="12.125" style="1"/>
  </cols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2DB21-3923-46B5-95ED-3BE1B92DCDB9}">
  <dimension ref="M1:AK1"/>
  <sheetViews>
    <sheetView topLeftCell="A9" workbookViewId="0">
      <selection activeCell="D26" sqref="D26"/>
    </sheetView>
  </sheetViews>
  <sheetFormatPr defaultColWidth="12.125" defaultRowHeight="18" x14ac:dyDescent="0.2"/>
  <cols>
    <col min="1" max="12" width="12.125" style="1"/>
    <col min="13" max="13" width="12.125" style="3"/>
    <col min="14" max="18" width="12.125" style="1"/>
    <col min="19" max="19" width="12.125" style="2"/>
    <col min="20" max="36" width="12.125" style="1"/>
    <col min="37" max="37" width="12.125" style="7"/>
    <col min="38" max="16384" width="12.125" style="1"/>
  </cols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6E6D-64F8-460F-9796-E0507107EFD8}">
  <dimension ref="M1:AK1"/>
  <sheetViews>
    <sheetView topLeftCell="A17" workbookViewId="0">
      <selection activeCell="E35" sqref="E35"/>
    </sheetView>
  </sheetViews>
  <sheetFormatPr defaultColWidth="12.125" defaultRowHeight="18" x14ac:dyDescent="0.2"/>
  <cols>
    <col min="1" max="12" width="12.125" style="1"/>
    <col min="13" max="13" width="12.125" style="3"/>
    <col min="14" max="18" width="12.125" style="1"/>
    <col min="19" max="19" width="12.125" style="2"/>
    <col min="20" max="36" width="12.125" style="1"/>
    <col min="37" max="37" width="12.125" style="7"/>
    <col min="38" max="16384" width="12.125" style="1"/>
  </cols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4BB2-B79B-4F77-874C-2A40D06A00CF}">
  <dimension ref="M1:AK1"/>
  <sheetViews>
    <sheetView topLeftCell="A5" workbookViewId="0">
      <selection activeCell="E23" sqref="E23"/>
    </sheetView>
  </sheetViews>
  <sheetFormatPr defaultColWidth="12.125" defaultRowHeight="18" x14ac:dyDescent="0.2"/>
  <cols>
    <col min="1" max="12" width="12.125" style="1"/>
    <col min="13" max="13" width="12.125" style="3"/>
    <col min="14" max="18" width="12.125" style="1"/>
    <col min="19" max="19" width="12.125" style="2"/>
    <col min="20" max="36" width="12.125" style="1"/>
    <col min="37" max="37" width="12.125" style="7"/>
    <col min="38" max="16384" width="12.125" style="1"/>
  </cols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84D1B-2BAD-467B-AF75-BA279ACFF05F}">
  <dimension ref="M1:AK1"/>
  <sheetViews>
    <sheetView workbookViewId="0">
      <selection activeCell="F19" sqref="F19"/>
    </sheetView>
  </sheetViews>
  <sheetFormatPr defaultColWidth="12.125" defaultRowHeight="18" x14ac:dyDescent="0.2"/>
  <cols>
    <col min="1" max="12" width="12.125" style="1"/>
    <col min="13" max="13" width="12.125" style="3"/>
    <col min="14" max="18" width="12.125" style="1"/>
    <col min="19" max="19" width="12.125" style="2"/>
    <col min="20" max="36" width="12.125" style="1"/>
    <col min="37" max="37" width="12.125" style="7"/>
    <col min="38" max="16384" width="12.125" style="1"/>
  </cols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6187-9496-4F90-920C-8886B8F2B03B}">
  <dimension ref="M1:AK1"/>
  <sheetViews>
    <sheetView workbookViewId="0">
      <selection activeCell="G17" sqref="G17"/>
    </sheetView>
  </sheetViews>
  <sheetFormatPr defaultColWidth="12.125" defaultRowHeight="18" x14ac:dyDescent="0.2"/>
  <cols>
    <col min="1" max="12" width="12.125" style="1"/>
    <col min="13" max="13" width="12.125" style="3"/>
    <col min="14" max="18" width="12.125" style="1"/>
    <col min="19" max="19" width="12.125" style="2"/>
    <col min="20" max="36" width="12.125" style="1"/>
    <col min="37" max="37" width="12.125" style="7"/>
    <col min="38" max="16384" width="12.125" style="1"/>
  </cols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ABDE-80D0-4F23-827E-2191DABCAE0E}">
  <dimension ref="A1"/>
  <sheetViews>
    <sheetView workbookViewId="0">
      <selection activeCell="J24" sqref="J24"/>
    </sheetView>
  </sheetViews>
  <sheetFormatPr defaultRowHeight="14.25" x14ac:dyDescent="0.2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BF3D0-9A32-4A1B-BBE0-7555E1293BDF}">
  <dimension ref="A1"/>
  <sheetViews>
    <sheetView workbookViewId="0">
      <selection activeCell="E22" sqref="E22"/>
    </sheetView>
  </sheetViews>
  <sheetFormatPr defaultRowHeight="14.25" x14ac:dyDescent="0.2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07F0-97F9-41BD-B927-4D3AB0D476E3}">
  <dimension ref="A1"/>
  <sheetViews>
    <sheetView workbookViewId="0">
      <selection activeCell="J25" sqref="J25"/>
    </sheetView>
  </sheetViews>
  <sheetFormatPr defaultRowHeight="14.25" x14ac:dyDescent="0.2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9370-4B96-4144-8FBF-983E6CCCE3E5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39A04-EF68-4FB3-B4E6-A9776B86957C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32044-07CB-4E30-8C8C-9DCA8350B9C9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1239-8D83-4C85-9E86-8A37118CC3FD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ဆံရှည်</vt:lpstr>
      <vt:lpstr>အကြီးကောင်</vt:lpstr>
      <vt:lpstr>ဦးဘန်</vt:lpstr>
      <vt:lpstr>အောင်ကို</vt:lpstr>
      <vt:lpstr>ဇော်မင်းဦး</vt:lpstr>
      <vt:lpstr>မီးသွေး</vt:lpstr>
      <vt:lpstr>တင်ဖြိုးအောင်</vt:lpstr>
      <vt:lpstr>အဒယ်လယ်</vt:lpstr>
      <vt:lpstr>ဦးကျွဲ</vt:lpstr>
      <vt:lpstr>အောင်ထွန်းဝင်း</vt:lpstr>
      <vt:lpstr>ကျော်လင်းဦး</vt:lpstr>
      <vt:lpstr>Sheet12</vt:lpstr>
      <vt:lpstr>Sheet4</vt:lpstr>
      <vt:lpstr>Sheet5</vt:lpstr>
      <vt:lpstr>Sheet13</vt:lpstr>
      <vt:lpstr>Sheet14</vt:lpstr>
      <vt:lpstr>Sheet15</vt:lpstr>
      <vt:lpstr>Sheet16</vt:lpstr>
      <vt:lpstr>Sheet17</vt:lpstr>
      <vt:lpstr>Sheet18</vt:lpstr>
      <vt:lpstr>Sheet19</vt:lpstr>
      <vt:lpstr>Sheet22</vt:lpstr>
      <vt:lpstr>Sheet20</vt:lpstr>
      <vt:lpstr>Sheet21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MyCom</cp:lastModifiedBy>
  <dcterms:created xsi:type="dcterms:W3CDTF">2025-09-23T14:34:00Z</dcterms:created>
  <dcterms:modified xsi:type="dcterms:W3CDTF">2025-10-01T05:14:39Z</dcterms:modified>
</cp:coreProperties>
</file>